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77ebd3181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封面" sheetId="1" r:id="R368f3b3b00024111"/>
    <x:sheet xmlns:r="http://schemas.openxmlformats.org/officeDocument/2006/relationships" name="输入" sheetId="2" r:id="R32a21c68fab749aa"/>
    <x:sheet xmlns:r="http://schemas.openxmlformats.org/officeDocument/2006/relationships" name="情景" sheetId="3" r:id="Ra7d0efeeab654089"/>
    <x:sheet xmlns:r="http://schemas.openxmlformats.org/officeDocument/2006/relationships" name="敏感性" sheetId="4" r:id="R1b4153ed9283413d"/>
    <x:sheet xmlns:r="http://schemas.openxmlformats.org/officeDocument/2006/relationships" name="检查" sheetId="5" r:id="R98a31c0cfe8543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"/>
    <x:numFmt numFmtId="202" formatCode="0.0%"/>
    <x:numFmt numFmtId="203" formatCode="0.00"/>
  </x:numFmts>
  <x:fonts count="14">
    <x:font>
      <x:sz val="11"/>
      <x:name val="Carlito"/>
    </x:font>
    <x:font>
      <x:b/>
      <x:sz val="24"/>
      <x:color rgb="FFFFFFFF"/>
      <x:name val="Carlito"/>
    </x:font>
    <x:font>
      <x:b/>
      <x:sz val="12"/>
      <x:color rgb="FF203A5F"/>
      <x:name val="Carlito"/>
    </x:font>
    <x:font>
      <x:b/>
      <x:sz val="11"/>
      <x:color rgb="FFFFFFFF"/>
      <x:name val="Carlito"/>
    </x:font>
    <x:font>
      <x:sz val="11"/>
      <x:color rgb="FF17212B"/>
      <x:name val="Carlito"/>
    </x:font>
    <x:font>
      <x:b/>
      <x:sz val="11"/>
      <x:color rgb="FF203A5F"/>
      <x:name val="Carlito"/>
    </x:font>
    <x:font>
      <x:b/>
      <x:sz val="18"/>
      <x:color rgb="FFFFFFFF"/>
      <x:name val="Carlito"/>
    </x:font>
    <x:font>
      <x:i/>
      <x:sz val="10"/>
      <x:color rgb="FF5E6B78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  <x:font>
      <x:sz val="9"/>
      <x:color rgb="FF2F6BFF"/>
      <x:name val="Carlito"/>
    </x:font>
    <x:font>
      <x:sz val="9"/>
      <x:color rgb="FF1B9E77"/>
      <x:name val="Carlito"/>
    </x:font>
    <x:font>
      <x:b/>
      <x:sz val="11"/>
      <x:color rgb="FF2F6BFF"/>
      <x:name val="Carlito"/>
    </x:font>
    <x:font>
      <x:sz val="11"/>
      <x:color rgb="FF1B9E7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EAF1FF"/>
      </x:patternFill>
    </x:fill>
    <x:fill>
      <x:patternFill patternType="solid">
        <x:fgColor rgb="FF203A5F"/>
      </x:patternFill>
    </x:fill>
    <x:fill>
      <x:patternFill patternType="solid">
        <x:fgColor rgb="FFEEF3F8"/>
      </x:patternFill>
    </x:fill>
    <x:fill>
      <x:patternFill patternType="solid">
        <x:fgColor rgb="FFE9F6F1"/>
      </x:patternFill>
    </x:fill>
  </x:fills>
  <x:borders count="2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200" fontId="9" fillId="5" borderId="1" xfId="0" applyNumberFormat="1" applyFont="1" applyFill="1" applyBorder="1" applyAlignment="1">
      <x:alignment vertical="center" wrapText="1"/>
    </x:xf>
    <x:xf numFmtId="200" fontId="9" fillId="0" borderId="1" xfId="0" applyNumberFormat="1" applyFont="1" applyFill="1" applyBorder="1" applyAlignment="1">
      <x:alignment vertical="center" wrapText="1"/>
    </x:xf>
    <x:xf numFmtId="201" fontId="9" fillId="5" borderId="1" xfId="0" applyNumberFormat="1" applyFont="1" applyFill="1" applyBorder="1" applyAlignment="1">
      <x:alignment vertical="center" wrapText="1"/>
    </x:xf>
    <x:xf numFmtId="201" fontId="9" fillId="0" borderId="1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center" wrapText="1"/>
    </x:xf>
    <x:xf numFmtId="200" fontId="9" fillId="3" borderId="1" xfId="0" applyNumberFormat="1" applyFont="1" applyFill="1" applyBorder="1" applyAlignment="1">
      <x:alignment vertical="center" wrapText="1"/>
    </x:xf>
    <x:xf numFmtId="201" fontId="9" fillId="3" borderId="1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vertical="center" wrapText="1"/>
    </x:xf>
    <x:xf numFmtId="200" fontId="10" fillId="3" borderId="1" xfId="0" applyNumberFormat="1" applyFont="1" applyFill="1" applyBorder="1" applyAlignment="1">
      <x:alignment vertical="center" wrapText="1"/>
    </x:xf>
    <x:xf numFmtId="201" fontId="10" fillId="3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wrapText="0"/>
    </x:xf>
    <x:xf numFmtId="0" fontId="9" fillId="0" borderId="1" xfId="0" applyNumberFormat="1" applyFont="1" applyFill="1" applyBorder="1" applyAlignment="1">
      <x:alignment vertical="center" wrapText="0"/>
    </x:xf>
    <x:xf numFmtId="0" fontId="9" fillId="5" borderId="1" xfId="0" applyNumberFormat="1" applyFont="1" applyFill="1" applyBorder="1" applyAlignment="1">
      <x:alignment vertical="center" wrapText="0"/>
    </x:xf>
    <x:xf numFmtId="201" fontId="9" fillId="5" borderId="1" xfId="0" applyNumberFormat="1" applyFont="1" applyFill="1" applyBorder="1" applyAlignment="1">
      <x:alignment vertical="center" wrapText="0"/>
    </x:xf>
    <x:xf numFmtId="201" fontId="9" fillId="0" borderId="1" xfId="0" applyNumberFormat="1" applyFont="1" applyFill="1" applyBorder="1" applyAlignment="1">
      <x:alignment vertical="center" wrapText="0"/>
    </x:xf>
    <x:xf numFmtId="202" fontId="9" fillId="5" borderId="1" xfId="0" applyNumberFormat="1" applyFont="1" applyFill="1" applyBorder="1" applyAlignment="1">
      <x:alignment vertical="center" wrapText="0"/>
    </x:xf>
    <x:xf numFmtId="202" fontId="9" fillId="0" borderId="1" xfId="0" applyNumberFormat="1" applyFont="1" applyFill="1" applyBorder="1" applyAlignment="1">
      <x:alignment vertical="center" wrapText="0"/>
    </x:xf>
    <x:xf numFmtId="203" fontId="9" fillId="5" borderId="1" xfId="0" applyNumberFormat="1" applyFont="1" applyFill="1" applyBorder="1" applyAlignment="1">
      <x:alignment vertical="center" wrapText="0"/>
    </x:xf>
    <x:xf numFmtId="203" fontId="9" fillId="0" borderId="1" xfId="0" applyNumberFormat="1" applyFont="1" applyFill="1" applyBorder="1" applyAlignment="1">
      <x:alignment vertical="center" wrapText="0"/>
    </x:xf>
    <x:xf numFmtId="201" fontId="9" fillId="6" borderId="1" xfId="0" applyNumberFormat="1" applyFont="1" applyFill="1" applyBorder="1" applyAlignment="1">
      <x:alignment vertical="center" wrapText="0"/>
    </x:xf>
    <x:xf numFmtId="202" fontId="9" fillId="6" borderId="1" xfId="0" applyNumberFormat="1" applyFont="1" applyFill="1" applyBorder="1" applyAlignment="1">
      <x:alignment vertical="center" wrapText="0"/>
    </x:xf>
    <x:xf numFmtId="203" fontId="9" fillId="6" borderId="1" xfId="0" applyNumberFormat="1" applyFont="1" applyFill="1" applyBorder="1" applyAlignment="1">
      <x:alignment vertical="center" wrapText="0"/>
    </x:xf>
    <x:xf numFmtId="201" fontId="11" fillId="6" borderId="1" xfId="0" applyNumberFormat="1" applyFont="1" applyFill="1" applyBorder="1" applyAlignment="1">
      <x:alignment vertical="center" wrapText="0"/>
    </x:xf>
    <x:xf numFmtId="202" fontId="11" fillId="6" borderId="1" xfId="0" applyNumberFormat="1" applyFont="1" applyFill="1" applyBorder="1" applyAlignment="1">
      <x:alignment vertical="center" wrapText="0"/>
    </x:xf>
    <x:xf numFmtId="203" fontId="11" fillId="6" borderId="1" xfId="0" applyNumberFormat="1" applyFont="1" applyFill="1" applyBorder="1" applyAlignment="1">
      <x:alignment vertical="center" wrapText="0"/>
    </x:xf>
    <x:xf numFmtId="0" fontId="12" fillId="3" borderId="0" xfId="0" applyNumberFormat="1" applyFont="1" applyFill="1" applyBorder="1"/>
    <x:xf numFmtId="0" fontId="12" fillId="3" borderId="1" xfId="0" applyNumberFormat="1" applyFont="1" applyFill="1" applyBorder="1"/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1" xfId="0" applyNumberFormat="1" applyFont="1" applyFill="1" applyBorder="1"/>
    <x:xf numFmtId="200" fontId="12" fillId="3" borderId="1" xfId="0" applyNumberFormat="1" applyFont="1" applyFill="1" applyBorder="1"/>
    <x:xf numFmtId="202" fontId="13" fillId="6" borderId="1" xfId="0" applyNumberFormat="1" applyFont="1" applyFill="1" applyBorder="1"/>
    <x:xf numFmtId="203" fontId="0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a653706cea453d" /><Relationship Type="http://schemas.openxmlformats.org/officeDocument/2006/relationships/theme" Target="/xl/theme/theme1.xml" Id="Rcd58442e788b43ff" /><Relationship Type="http://schemas.openxmlformats.org/officeDocument/2006/relationships/sharedStrings" Target="/xl/sharedStrings.xml" Id="Rf883733da04c4aed" /><Relationship Type="http://schemas.openxmlformats.org/officeDocument/2006/relationships/worksheet" Target="/xl/worksheets/sheet1.xml" Id="R368f3b3b00024111" /><Relationship Type="http://schemas.openxmlformats.org/officeDocument/2006/relationships/worksheet" Target="/xl/worksheets/sheet2.xml" Id="R32a21c68fab749aa" /><Relationship Type="http://schemas.openxmlformats.org/officeDocument/2006/relationships/worksheet" Target="/xl/worksheets/sheet3.xml" Id="Ra7d0efeeab654089" /><Relationship Type="http://schemas.openxmlformats.org/officeDocument/2006/relationships/worksheet" Target="/xl/worksheets/sheet4.xml" Id="R1b4153ed9283413d" /><Relationship Type="http://schemas.openxmlformats.org/officeDocument/2006/relationships/worksheet" Target="/xl/worksheets/sheet5.xml" Id="R98a31c0cfe8543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  <x:col min="3" max="3" width="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5" t="str">
        <x:v>Seat-to-Consumption Model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5"/>
      <x:c r="B3" s="5"/>
      <x:c r="C3" s="5"/>
      <x:c r="D3" s="5"/>
      <x:c r="E3" s="5"/>
      <x:c r="F3" s="5"/>
      <x:c r="G3" s="5"/>
      <x:c r="H3" s="5"/>
    </x:row>
    <x:row r="5" ht="34" customHeight="1">
      <x:c r="A5" s="9" t="str">
        <x:v>量化席位收缩、代理任务消耗、推理/执行成本对收入和毛利池的影响。</x:v>
      </x:c>
      <x:c r="B5" s="9"/>
      <x:c r="C5" s="9"/>
      <x:c r="D5" s="9"/>
      <x:c r="E5" s="9"/>
      <x:c r="F5" s="9"/>
      <x:c r="G5" s="9"/>
      <x:c r="H5" s="9"/>
    </x:row>
    <x:row r="7" ht="28" customHeight="1">
      <x:c r="A7" s="12" t="str">
        <x:v>研究截止日</x:v>
      </x:c>
      <x:c r="B7" s="16" t="str">
        <x:v>2026-07-29</x:v>
      </x:c>
    </x:row>
    <x:row r="8" ht="28" customHeight="1">
      <x:c r="A8" s="12" t="str">
        <x:v>市场价日期</x:v>
      </x:c>
      <x:c r="B8" s="16" t="str">
        <x:v>2026-07-28 收盘</x:v>
      </x:c>
    </x:row>
    <x:row r="9" ht="28" customHeight="1">
      <x:c r="A9" s="12" t="str">
        <x:v>单位</x:v>
      </x:c>
      <x:c r="B9" s="16" t="str">
        <x:v>除特别说明外：USD mm / 每股 USD</x:v>
      </x:c>
    </x:row>
    <x:row r="10" ht="28" customHeight="1">
      <x:c r="A10" s="12" t="str">
        <x:v>颜色规则</x:v>
      </x:c>
      <x:c r="B10" s="16" t="str">
        <x:v>蓝色=外部/管理层输入；绿色=公式；灰色=作者假设</x:v>
      </x:c>
    </x:row>
    <x:row r="11" ht="28" customHeight="1">
      <x:c r="A11" s="12" t="str">
        <x:v>免责声明</x:v>
      </x:c>
      <x:c r="B11" s="16" t="str">
        <x:v>研究演示，不构成投资建议。预测与倍数均为作者假设。</x:v>
      </x:c>
    </x:row>
    <x:row r="12" ht="28" customHeight="1"/>
    <x:row r="13" ht="28" customHeight="1">
      <x:c r="A13" s="11" t="str">
        <x:v>工作表说明</x:v>
      </x:c>
      <x:c r="B13" s="11"/>
      <x:c r="C13" s="11"/>
      <x:c r="D13" s="11"/>
      <x:c r="E13" s="11"/>
      <x:c r="F13" s="11"/>
      <x:c r="G13" s="11"/>
      <x:c r="H13" s="11"/>
    </x:row>
    <x:row r="14" ht="28" customHeight="1">
      <x:c r="A14" s="18" t="str">
        <x:v>输入</x:v>
      </x:c>
      <x:c r="B14" s="19" t="str">
        <x:v>Bear/Base/Bull 的席位、附着、任务量、价格与成本假设。</x:v>
      </x:c>
    </x:row>
    <x:row r="15" ht="28" customHeight="1">
      <x:c r="A15" s="18" t="str">
        <x:v>情景</x:v>
      </x:c>
      <x:c r="B15" s="19" t="str">
        <x:v>公式驱动的收入与毛利桥。</x:v>
      </x:c>
    </x:row>
    <x:row r="16" ht="28" customHeight="1">
      <x:c r="A16" s="18" t="str">
        <x:v>敏感性</x:v>
      </x:c>
      <x:c r="B16" s="19" t="str">
        <x:v>席位变化 × 每附着席位任务量。</x:v>
      </x:c>
    </x:row>
    <x:row r="17" ht="28" customHeight="1">
      <x:c r="A17" s="18" t="str">
        <x:v>检查</x:v>
      </x:c>
      <x:c r="B17" s="19" t="str">
        <x:v>收入桥、成本桥和边界条件。</x:v>
      </x:c>
    </x:row>
    <x:row r="18" ht="28" customHeight="1"/>
    <x:row r="19" ht="28" customHeight="1"/>
    <x:row r="20" ht="28" customHeight="1"/>
  </x:sheetData>
  <x:mergeCells>
    <x:mergeCell ref="A1:H3"/>
    <x:mergeCell ref="A5:H5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70" hidden="0" customWidth="1"/>
  </x:cols>
  <x:sheetData>
    <x:row r="1" ht="32" customHeight="1">
      <x:c r="A1" s="21" t="str">
        <x:v>输入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</x:row>
    <x:row r="2" ht="24" customHeight="1">
      <x:c r="A2" s="24" t="str">
        <x:v>灰色描述为作者假设；蓝色数值可编辑。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</x:row>
    <x:row r="4" ht="30" customHeight="1">
      <x:c r="A4" s="28" t="str">
        <x:v>情景</x:v>
      </x:c>
      <x:c r="B4" s="28" t="str">
        <x:v>基准席位</x:v>
      </x:c>
      <x:c r="C4" s="28" t="str">
        <x:v>席位变化</x:v>
      </x:c>
      <x:c r="D4" s="28" t="str">
        <x:v>席位单价</x:v>
      </x:c>
      <x:c r="E4" s="28" t="str">
        <x:v>代理附着率</x:v>
      </x:c>
      <x:c r="F4" s="28" t="str">
        <x:v>每附着席位任务量</x:v>
      </x:c>
      <x:c r="G4" s="28" t="str">
        <x:v>每任务价格</x:v>
      </x:c>
      <x:c r="H4" s="28" t="str">
        <x:v>平台费</x:v>
      </x:c>
      <x:c r="I4" s="28" t="str">
        <x:v>每任务推理成本</x:v>
      </x:c>
      <x:c r="J4" s="28" t="str">
        <x:v>每任务执行成本</x:v>
      </x:c>
      <x:c r="K4" s="28" t="str">
        <x:v>支持成本/收入</x:v>
      </x:c>
      <x:c r="L4" s="28" t="str">
        <x:v>来源类型</x:v>
      </x:c>
      <x:c r="M4" s="28" t="str">
        <x:v>解释</x:v>
      </x:c>
    </x:row>
    <x:row r="5">
      <x:c r="A5" s="33" t="str">
        <x:v>Bear</x:v>
      </x:c>
      <x:c r="B5" s="41" t="n">
        <x:v>1000</x:v>
      </x:c>
      <x:c r="C5" s="42" t="n">
        <x:v>-0.25</x:v>
      </x:c>
      <x:c r="D5" s="43" t="n">
        <x:v>1100</x:v>
      </x:c>
      <x:c r="E5" s="43" t="n">
        <x:v>0.15</x:v>
      </x:c>
      <x:c r="F5" s="43" t="n">
        <x:v>1000</x:v>
      </x:c>
      <x:c r="G5" s="43" t="n">
        <x:v>0.15</x:v>
      </x:c>
      <x:c r="H5" s="43" t="n">
        <x:v>0</x:v>
      </x:c>
      <x:c r="I5" s="43" t="n">
        <x:v>0.08</x:v>
      </x:c>
      <x:c r="J5" s="43" t="n">
        <x:v>0.03</x:v>
      </x:c>
      <x:c r="K5" s="42" t="n">
        <x:v>0.1</x:v>
      </x:c>
      <x:c r="L5" s="33" t="str">
        <x:v>Author assumption</x:v>
      </x:c>
      <x:c r="M5" s="33" t="str">
        <x:v>席位压缩快于消耗收入起量；供应商未能把自动化价值转化为计量权。</x:v>
      </x:c>
    </x:row>
    <x:row r="6">
      <x:c r="A6" s="32" t="str">
        <x:v>Base</x:v>
      </x:c>
      <x:c r="B6" s="41" t="n">
        <x:v>1000</x:v>
      </x:c>
      <x:c r="C6" s="42" t="n">
        <x:v>-0.1</x:v>
      </x:c>
      <x:c r="D6" s="43" t="n">
        <x:v>1150</x:v>
      </x:c>
      <x:c r="E6" s="43" t="n">
        <x:v>0.35</x:v>
      </x:c>
      <x:c r="F6" s="43" t="n">
        <x:v>5000</x:v>
      </x:c>
      <x:c r="G6" s="43" t="n">
        <x:v>0.2</x:v>
      </x:c>
      <x:c r="H6" s="43" t="n">
        <x:v>60000</x:v>
      </x:c>
      <x:c r="I6" s="43" t="n">
        <x:v>0.06</x:v>
      </x:c>
      <x:c r="J6" s="43" t="n">
        <x:v>0.02</x:v>
      </x:c>
      <x:c r="K6" s="42" t="n">
        <x:v>0.08</x:v>
      </x:c>
      <x:c r="L6" s="32" t="str">
        <x:v>Author assumption</x:v>
      </x:c>
      <x:c r="M6" s="32" t="str">
        <x:v>席位温和收缩，平台费与任务消耗弥补并超过席位流失。</x:v>
      </x:c>
    </x:row>
    <x:row r="7">
      <x:c r="A7" s="33" t="str">
        <x:v>Bull</x:v>
      </x:c>
      <x:c r="B7" s="41" t="n">
        <x:v>1000</x:v>
      </x:c>
      <x:c r="C7" s="42" t="n">
        <x:v>0</x:v>
      </x:c>
      <x:c r="D7" s="43" t="n">
        <x:v>1200</x:v>
      </x:c>
      <x:c r="E7" s="43" t="n">
        <x:v>0.6</x:v>
      </x:c>
      <x:c r="F7" s="43" t="n">
        <x:v>10000</x:v>
      </x:c>
      <x:c r="G7" s="43" t="n">
        <x:v>0.25</x:v>
      </x:c>
      <x:c r="H7" s="43" t="n">
        <x:v>240000</x:v>
      </x:c>
      <x:c r="I7" s="43" t="n">
        <x:v>0.03</x:v>
      </x:c>
      <x:c r="J7" s="43" t="n">
        <x:v>0.01</x:v>
      </x:c>
      <x:c r="K7" s="42" t="n">
        <x:v>0.08</x:v>
      </x:c>
      <x:c r="L7" s="33" t="str">
        <x:v>Author assumption</x:v>
      </x:c>
      <x:c r="M7" s="33" t="str">
        <x:v>人类席位稳定，代理任务成为第二增长曲线，规模效应改善单位推理成本。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32" customHeight="1">
      <x:c r="A1" s="21" t="str">
        <x:v>情景输出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</x:row>
    <x:row r="2" ht="24" customHeight="1">
      <x:c r="A2" s="24" t="str">
        <x:v>基准：1,000 席位 × $1,200；基准毛利率 85%。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</x:row>
    <x:row r="4" ht="30" customHeight="1">
      <x:c r="A4" s="28" t="str">
        <x:v>情景</x:v>
      </x:c>
      <x:c r="B4" s="28" t="str">
        <x:v>付费席位</x:v>
      </x:c>
      <x:c r="C4" s="28" t="str">
        <x:v>席位收入</x:v>
      </x:c>
      <x:c r="D4" s="28" t="str">
        <x:v>代理任务</x:v>
      </x:c>
      <x:c r="E4" s="28" t="str">
        <x:v>用量收入</x:v>
      </x:c>
      <x:c r="F4" s="28" t="str">
        <x:v>平台费</x:v>
      </x:c>
      <x:c r="G4" s="28" t="str">
        <x:v>总收入</x:v>
      </x:c>
      <x:c r="H4" s="28" t="str">
        <x:v>推理成本</x:v>
      </x:c>
      <x:c r="I4" s="28" t="str">
        <x:v>执行成本</x:v>
      </x:c>
      <x:c r="J4" s="28" t="str">
        <x:v>支持成本</x:v>
      </x:c>
      <x:c r="K4" s="28" t="str">
        <x:v>总成本</x:v>
      </x:c>
      <x:c r="L4" s="28" t="str">
        <x:v>毛利</x:v>
      </x:c>
      <x:c r="M4" s="28" t="str">
        <x:v>毛利率</x:v>
      </x:c>
      <x:c r="N4" s="28" t="str">
        <x:v>收入较基准</x:v>
      </x:c>
      <x:c r="O4" s="28" t="str">
        <x:v>毛利较基准</x:v>
      </x:c>
      <x:c r="P4" s="28" t="str">
        <x:v>收入桥检查</x:v>
      </x:c>
      <x:c r="Q4" s="28" t="str">
        <x:v>成本桥检查</x:v>
      </x:c>
    </x:row>
    <x:row r="5">
      <x:c r="A5" s="46" t="str">
        <x:v>Bear</x:v>
      </x:c>
      <x:c r="B5" s="56" t="n">
        <x:f>'输入'!B5*(1+'输入'!C5)</x:f>
        <x:v>750</x:v>
      </x:c>
      <x:c r="C5" s="56" t="n">
        <x:f>B5*'输入'!D5</x:f>
        <x:v>825000</x:v>
      </x:c>
      <x:c r="D5" s="56" t="n">
        <x:f>B5*'输入'!E5*'输入'!F5</x:f>
        <x:v>112500</x:v>
      </x:c>
      <x:c r="E5" s="56" t="n">
        <x:f>D5*'输入'!G5</x:f>
        <x:v>16875</x:v>
      </x:c>
      <x:c r="F5" s="56" t="n">
        <x:f>'输入'!H5</x:f>
        <x:v>0</x:v>
      </x:c>
      <x:c r="G5" s="56" t="n">
        <x:f>C5+E5+F5</x:f>
        <x:v>841875</x:v>
      </x:c>
      <x:c r="H5" s="56" t="n">
        <x:f>D5*'输入'!I5</x:f>
        <x:v>9000</x:v>
      </x:c>
      <x:c r="I5" s="56" t="n">
        <x:f>D5*'输入'!J5</x:f>
        <x:v>3375</x:v>
      </x:c>
      <x:c r="J5" s="56" t="n">
        <x:f>G5*'输入'!K5</x:f>
        <x:v>84187.5</x:v>
      </x:c>
      <x:c r="K5" s="56" t="n">
        <x:f>H5+I5+J5</x:f>
        <x:v>96562.5</x:v>
      </x:c>
      <x:c r="L5" s="56" t="n">
        <x:f>G5-K5</x:f>
        <x:v>745312.5</x:v>
      </x:c>
      <x:c r="M5" s="57" t="n">
        <x:f>L5/G5</x:f>
        <x:v>0.8853006681514477</x:v>
      </x:c>
      <x:c r="N5" s="57" t="n">
        <x:f>G5/1200000-1</x:f>
        <x:v>-0.2984375</x:v>
      </x:c>
      <x:c r="O5" s="57" t="n">
        <x:f>L5/1020000-1</x:f>
        <x:v>-0.2693014705882353</x:v>
      </x:c>
      <x:c r="P5" s="58" t="n">
        <x:f>G5-(C5+E5+F5)</x:f>
        <x:v>0</x:v>
      </x:c>
      <x:c r="Q5" s="58" t="n">
        <x:f>K5-(H5+I5+J5)</x:f>
        <x:v>0</x:v>
      </x:c>
    </x:row>
    <x:row r="6">
      <x:c r="A6" s="45" t="str">
        <x:v>Base</x:v>
      </x:c>
      <x:c r="B6" s="56" t="n">
        <x:f>'输入'!B6*(1+'输入'!C6)</x:f>
        <x:v>900</x:v>
      </x:c>
      <x:c r="C6" s="56" t="n">
        <x:f>B6*'输入'!D6</x:f>
        <x:v>1035000</x:v>
      </x:c>
      <x:c r="D6" s="56" t="n">
        <x:f>B6*'输入'!E6*'输入'!F6</x:f>
        <x:v>1575000</x:v>
      </x:c>
      <x:c r="E6" s="56" t="n">
        <x:f>D6*'输入'!G6</x:f>
        <x:v>315000</x:v>
      </x:c>
      <x:c r="F6" s="56" t="n">
        <x:f>'输入'!H6</x:f>
        <x:v>60000</x:v>
      </x:c>
      <x:c r="G6" s="56" t="n">
        <x:f>C6+E6+F6</x:f>
        <x:v>1410000</x:v>
      </x:c>
      <x:c r="H6" s="56" t="n">
        <x:f>D6*'输入'!I6</x:f>
        <x:v>94500</x:v>
      </x:c>
      <x:c r="I6" s="56" t="n">
        <x:f>D6*'输入'!J6</x:f>
        <x:v>31500</x:v>
      </x:c>
      <x:c r="J6" s="56" t="n">
        <x:f>G6*'输入'!K6</x:f>
        <x:v>112800</x:v>
      </x:c>
      <x:c r="K6" s="56" t="n">
        <x:f>H6+I6+J6</x:f>
        <x:v>238800</x:v>
      </x:c>
      <x:c r="L6" s="56" t="n">
        <x:f>G6-K6</x:f>
        <x:v>1171200</x:v>
      </x:c>
      <x:c r="M6" s="57" t="n">
        <x:f>L6/G6</x:f>
        <x:v>0.8306382978723404</x:v>
      </x:c>
      <x:c r="N6" s="57" t="n">
        <x:f>G6/1200000-1</x:f>
        <x:v>0.17500000000000004</x:v>
      </x:c>
      <x:c r="O6" s="57" t="n">
        <x:f>L6/1020000-1</x:f>
        <x:v>0.14823529411764702</x:v>
      </x:c>
      <x:c r="P6" s="58" t="n">
        <x:f>G6-(C6+E6+F6)</x:f>
        <x:v>0</x:v>
      </x:c>
      <x:c r="Q6" s="58" t="n">
        <x:f>K6-(H6+I6+J6)</x:f>
        <x:v>0</x:v>
      </x:c>
    </x:row>
    <x:row r="7">
      <x:c r="A7" s="46" t="str">
        <x:v>Bull</x:v>
      </x:c>
      <x:c r="B7" s="56" t="n">
        <x:f>'输入'!B7*(1+'输入'!C7)</x:f>
        <x:v>1000</x:v>
      </x:c>
      <x:c r="C7" s="56" t="n">
        <x:f>B7*'输入'!D7</x:f>
        <x:v>1200000</x:v>
      </x:c>
      <x:c r="D7" s="56" t="n">
        <x:f>B7*'输入'!E7*'输入'!F7</x:f>
        <x:v>6000000</x:v>
      </x:c>
      <x:c r="E7" s="56" t="n">
        <x:f>D7*'输入'!G7</x:f>
        <x:v>1500000</x:v>
      </x:c>
      <x:c r="F7" s="56" t="n">
        <x:f>'输入'!H7</x:f>
        <x:v>240000</x:v>
      </x:c>
      <x:c r="G7" s="56" t="n">
        <x:f>C7+E7+F7</x:f>
        <x:v>2940000</x:v>
      </x:c>
      <x:c r="H7" s="56" t="n">
        <x:f>D7*'输入'!I7</x:f>
        <x:v>180000</x:v>
      </x:c>
      <x:c r="I7" s="56" t="n">
        <x:f>D7*'输入'!J7</x:f>
        <x:v>60000</x:v>
      </x:c>
      <x:c r="J7" s="56" t="n">
        <x:f>G7*'输入'!K7</x:f>
        <x:v>235200</x:v>
      </x:c>
      <x:c r="K7" s="56" t="n">
        <x:f>H7+I7+J7</x:f>
        <x:v>475200</x:v>
      </x:c>
      <x:c r="L7" s="56" t="n">
        <x:f>G7-K7</x:f>
        <x:v>2464800</x:v>
      </x:c>
      <x:c r="M7" s="57" t="n">
        <x:f>L7/G7</x:f>
        <x:v>0.8383673469387755</x:v>
      </x:c>
      <x:c r="N7" s="57" t="n">
        <x:f>G7/1200000-1</x:f>
        <x:v>1.4500000000000002</x:v>
      </x:c>
      <x:c r="O7" s="57" t="n">
        <x:f>L7/1020000-1</x:f>
        <x:v>1.4164705882352941</x:v>
      </x:c>
      <x:c r="P7" s="58" t="n">
        <x:f>G7-(C7+E7+F7)</x:f>
        <x:v>0</x:v>
      </x:c>
      <x:c r="Q7" s="58" t="n">
        <x:f>K7-(H7+I7+J7)</x:f>
        <x:v>0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</x:cols>
  <x:sheetData>
    <x:row r="1" ht="32" customHeight="1">
      <x:c r="A1" s="21" t="str">
        <x:v>收入较基准敏感性</x:v>
      </x:c>
      <x:c r="B1" s="21"/>
      <x:c r="C1" s="21"/>
      <x:c r="D1" s="21"/>
      <x:c r="E1" s="21"/>
      <x:c r="F1" s="21"/>
      <x:c r="G1" s="21"/>
      <x:c r="H1" s="21"/>
    </x:row>
    <x:row r="2" ht="24" customHeight="1">
      <x:c r="A2" s="24" t="str">
        <x:v>固定 Base 的价格、附着率、平台费与成本；行=席位变化，列=每附着席位任务量。</x:v>
      </x:c>
      <x:c r="B2" s="24"/>
      <x:c r="C2" s="24"/>
      <x:c r="D2" s="24"/>
      <x:c r="E2" s="24"/>
      <x:c r="F2" s="24"/>
      <x:c r="G2" s="24"/>
      <x:c r="H2" s="24"/>
    </x:row>
    <x:row r="4">
      <x:c r="A4" s="12" t="str">
        <x:v>席位变化 / 任务量</x:v>
      </x:c>
      <x:c r="B4" s="12" t="n">
        <x:v>1000</x:v>
      </x:c>
      <x:c r="C4" s="12" t="n">
        <x:v>3000</x:v>
      </x:c>
      <x:c r="D4" s="12" t="n">
        <x:v>5000</x:v>
      </x:c>
      <x:c r="E4" s="12" t="n">
        <x:v>7500</x:v>
      </x:c>
      <x:c r="F4" s="12" t="n">
        <x:v>10000</x:v>
      </x:c>
    </x:row>
    <x:row r="5">
      <x:c r="A5" s="64" t="n">
        <x:v>-0.3</x:v>
      </x:c>
      <x:c r="B5" s="65" t="n">
        <x:f>((1000*(1+$A5)*1150)+(1000*(1+$A5)*35%*B$4*0.20)+60000)/1200000-1</x:f>
        <x:v>-0.23833333333333329</x:v>
      </x:c>
      <x:c r="C5" s="65" t="n">
        <x:f>((1000*(1+$A5)*1150)+(1000*(1+$A5)*35%*C$4*0.20)+60000)/1200000-1</x:f>
        <x:v>-0.15666666666666662</x:v>
      </x:c>
      <x:c r="D5" s="65" t="n">
        <x:f>((1000*(1+$A5)*1150)+(1000*(1+$A5)*35%*D$4*0.20)+60000)/1200000-1</x:f>
        <x:v>-0.07499999999999996</x:v>
      </x:c>
      <x:c r="E5" s="65" t="n">
        <x:f>((1000*(1+$A5)*1150)+(1000*(1+$A5)*35%*E$4*0.20)+60000)/1200000-1</x:f>
        <x:v>0.027083333333333348</x:v>
      </x:c>
      <x:c r="F5" s="65" t="n">
        <x:f>((1000*(1+$A5)*1150)+(1000*(1+$A5)*35%*F$4*0.20)+60000)/1200000-1</x:f>
        <x:v>0.12916666666666665</x:v>
      </x:c>
    </x:row>
    <x:row r="6">
      <x:c r="A6" s="64" t="n">
        <x:v>-0.2</x:v>
      </x:c>
      <x:c r="B6" s="65" t="n">
        <x:f>((1000*(1+$A6)*1150)+(1000*(1+$A6)*35%*B$4*0.20)+60000)/1200000-1</x:f>
        <x:v>-0.13666666666666671</x:v>
      </x:c>
      <x:c r="C6" s="65" t="n">
        <x:f>((1000*(1+$A6)*1150)+(1000*(1+$A6)*35%*C$4*0.20)+60000)/1200000-1</x:f>
        <x:v>-0.043333333333333335</x:v>
      </x:c>
      <x:c r="D6" s="65" t="n">
        <x:f>((1000*(1+$A6)*1150)+(1000*(1+$A6)*35%*D$4*0.20)+60000)/1200000-1</x:f>
        <x:v>0.050000000000000044</x:v>
      </x:c>
      <x:c r="E6" s="65" t="n">
        <x:f>((1000*(1+$A6)*1150)+(1000*(1+$A6)*35%*E$4*0.20)+60000)/1200000-1</x:f>
        <x:v>0.16666666666666674</x:v>
      </x:c>
      <x:c r="F6" s="65" t="n">
        <x:f>((1000*(1+$A6)*1150)+(1000*(1+$A6)*35%*F$4*0.20)+60000)/1200000-1</x:f>
        <x:v>0.28333333333333344</x:v>
      </x:c>
    </x:row>
    <x:row r="7">
      <x:c r="A7" s="64" t="n">
        <x:v>-0.1</x:v>
      </x:c>
      <x:c r="B7" s="65" t="n">
        <x:f>((1000*(1+$A7)*1150)+(1000*(1+$A7)*35%*B$4*0.20)+60000)/1200000-1</x:f>
        <x:v>-0.03500000000000003</x:v>
      </x:c>
      <x:c r="C7" s="65" t="n">
        <x:f>((1000*(1+$A7)*1150)+(1000*(1+$A7)*35%*C$4*0.20)+60000)/1200000-1</x:f>
        <x:v>0.07000000000000006</x:v>
      </x:c>
      <x:c r="D7" s="65" t="n">
        <x:f>((1000*(1+$A7)*1150)+(1000*(1+$A7)*35%*D$4*0.20)+60000)/1200000-1</x:f>
        <x:v>0.17500000000000004</x:v>
      </x:c>
      <x:c r="E7" s="65" t="n">
        <x:f>((1000*(1+$A7)*1150)+(1000*(1+$A7)*35%*E$4*0.20)+60000)/1200000-1</x:f>
        <x:v>0.3062499999999999</x:v>
      </x:c>
      <x:c r="F7" s="65" t="n">
        <x:f>((1000*(1+$A7)*1150)+(1000*(1+$A7)*35%*F$4*0.20)+60000)/1200000-1</x:f>
        <x:v>0.4375</x:v>
      </x:c>
    </x:row>
    <x:row r="8">
      <x:c r="A8" s="64" t="n">
        <x:v>0</x:v>
      </x:c>
      <x:c r="B8" s="65" t="n">
        <x:f>((1000*(1+$A8)*1150)+(1000*(1+$A8)*35%*B$4*0.20)+60000)/1200000-1</x:f>
        <x:v>0.06666666666666665</x:v>
      </x:c>
      <x:c r="C8" s="65" t="n">
        <x:f>((1000*(1+$A8)*1150)+(1000*(1+$A8)*35%*C$4*0.20)+60000)/1200000-1</x:f>
        <x:v>0.18333333333333335</x:v>
      </x:c>
      <x:c r="D8" s="65" t="n">
        <x:f>((1000*(1+$A8)*1150)+(1000*(1+$A8)*35%*D$4*0.20)+60000)/1200000-1</x:f>
        <x:v>0.30000000000000004</x:v>
      </x:c>
      <x:c r="E8" s="65" t="n">
        <x:f>((1000*(1+$A8)*1150)+(1000*(1+$A8)*35%*E$4*0.20)+60000)/1200000-1</x:f>
        <x:v>0.4458333333333333</x:v>
      </x:c>
      <x:c r="F8" s="65" t="n">
        <x:f>((1000*(1+$A8)*1150)+(1000*(1+$A8)*35%*F$4*0.20)+60000)/1200000-1</x:f>
        <x:v>0.5916666666666666</x:v>
      </x:c>
    </x:row>
    <x:row r="9">
      <x:c r="A9" s="64" t="n">
        <x:v>0.1</x:v>
      </x:c>
      <x:c r="B9" s="65" t="n">
        <x:f>((1000*(1+$A9)*1150)+(1000*(1+$A9)*35%*B$4*0.20)+60000)/1200000-1</x:f>
        <x:v>0.16833333333333322</x:v>
      </x:c>
      <x:c r="C9" s="65" t="n">
        <x:f>((1000*(1+$A9)*1150)+(1000*(1+$A9)*35%*C$4*0.20)+60000)/1200000-1</x:f>
        <x:v>0.29666666666666663</x:v>
      </x:c>
      <x:c r="D9" s="65" t="n">
        <x:f>((1000*(1+$A9)*1150)+(1000*(1+$A9)*35%*D$4*0.20)+60000)/1200000-1</x:f>
        <x:v>0.42500000000000004</x:v>
      </x:c>
      <x:c r="E9" s="65" t="n">
        <x:f>((1000*(1+$A9)*1150)+(1000*(1+$A9)*35%*E$4*0.20)+60000)/1200000-1</x:f>
        <x:v>0.5854166666666667</x:v>
      </x:c>
      <x:c r="F9" s="65" t="n">
        <x:f>((1000*(1+$A9)*1150)+(1000*(1+$A9)*35%*F$4*0.20)+60000)/1200000-1</x:f>
        <x:v>0.7458333333333333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</x:cols>
  <x:sheetData>
    <x:row r="1" ht="32" customHeight="1">
      <x:c r="A1" s="21" t="str">
        <x:v>模型检查</x:v>
      </x:c>
      <x:c r="B1" s="21"/>
      <x:c r="C1" s="21"/>
      <x:c r="D1" s="21"/>
      <x:c r="E1" s="21"/>
      <x:c r="F1" s="21"/>
    </x:row>
    <x:row r="2" ht="24" customHeight="1">
      <x:c r="A2" s="24" t="str">
        <x:v>零表示桥接关系闭合。</x:v>
      </x:c>
      <x:c r="B2" s="24"/>
      <x:c r="C2" s="24"/>
      <x:c r="D2" s="24"/>
      <x:c r="E2" s="24"/>
      <x:c r="F2" s="24"/>
    </x:row>
    <x:row r="4">
      <x:c r="A4" s="11" t="str">
        <x:v>检查项</x:v>
      </x:c>
      <x:c r="B4" s="11" t="str">
        <x:v>Bear</x:v>
      </x:c>
      <x:c r="C4" s="11" t="str">
        <x:v>Base</x:v>
      </x:c>
      <x:c r="D4" s="11" t="str">
        <x:v>Bull</x:v>
      </x:c>
    </x:row>
    <x:row r="5">
      <x:c r="A5" t="str">
        <x:v>收入桥</x:v>
      </x:c>
      <x:c r="B5" s="66" t="n">
        <x:f>'情景'!P5</x:f>
        <x:v>0</x:v>
      </x:c>
      <x:c r="C5" s="66" t="n">
        <x:f>'情景'!P6</x:f>
        <x:v>0</x:v>
      </x:c>
      <x:c r="D5" s="66" t="n">
        <x:f>'情景'!P7</x:f>
        <x:v>0</x:v>
      </x:c>
    </x:row>
    <x:row r="6">
      <x:c r="A6" t="str">
        <x:v>成本桥</x:v>
      </x:c>
      <x:c r="B6" s="66" t="n">
        <x:f>'情景'!Q5</x:f>
        <x:v>0</x:v>
      </x:c>
      <x:c r="C6" s="66" t="n">
        <x:f>'情景'!Q6</x:f>
        <x:v>0</x:v>
      </x:c>
      <x:c r="D6" s="66" t="n">
        <x:f>'情景'!Q7</x:f>
        <x:v>0</x:v>
      </x:c>
    </x:row>
    <x:row r="7">
      <x:c r="A7" t="str">
        <x:v>毛利率在 0–100%</x:v>
      </x:c>
      <x:c r="B7" s="61" t="str">
        <x:f>IF(AND('情景'!M5&gt;=0,'情景'!M5&lt;=1),"OK","ERROR")</x:f>
        <x:v>OK</x:v>
      </x:c>
      <x:c r="C7" s="61" t="str">
        <x:f>IF(AND('情景'!M6&gt;=0,'情景'!M6&lt;=1),"OK","ERROR")</x:f>
        <x:v>OK</x:v>
      </x:c>
      <x:c r="D7" s="61" t="str">
        <x:f>IF(AND('情景'!M7&gt;=0,'情景'!M7&lt;=1),"OK","ERROR")</x:f>
        <x:v>OK</x:v>
      </x:c>
    </x:row>
    <x:row r="8">
      <x:c r="A8" t="str">
        <x:v>总收入为正</x:v>
      </x:c>
      <x:c r="B8" s="61" t="str">
        <x:f>IF('情景'!G5&gt;0,"OK","ERROR")</x:f>
        <x:v>OK</x:v>
      </x:c>
      <x:c r="C8" s="61" t="str">
        <x:f>IF('情景'!G6&gt;0,"OK","ERROR")</x:f>
        <x:v>OK</x:v>
      </x:c>
      <x:c r="D8" s="61" t="str">
        <x:f>IF('情景'!G7&gt;0,"OK","ERROR")</x:f>
        <x:v>OK</x:v>
      </x:c>
    </x:row>
  </x:sheetData>
  <x:mergeCells>
    <x:mergeCell ref="A1:F1"/>
    <x:mergeCell ref="A2:F2"/>
  </x:mergeCells>
  <x:pageMargins left="0.7" right="0.7" top="0.75" bottom="0.75" header="0.3" footer="0.3"/>
</x:worksheet>
</file>