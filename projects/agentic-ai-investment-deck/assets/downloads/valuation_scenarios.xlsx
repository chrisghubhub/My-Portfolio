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42f0db9f5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202838e499574b32"/>
    <x:sheet xmlns:r="http://schemas.openxmlformats.org/officeDocument/2006/relationships" name="假设" sheetId="2" r:id="Rf19da3a1bee84258"/>
    <x:sheet xmlns:r="http://schemas.openxmlformats.org/officeDocument/2006/relationships" name="估值" sheetId="3" r:id="Rb3fc402c1f4a4a6f"/>
    <x:sheet xmlns:r="http://schemas.openxmlformats.org/officeDocument/2006/relationships" name="NOW敏感性" sheetId="4" r:id="R83538044acee4458"/>
    <x:sheet xmlns:r="http://schemas.openxmlformats.org/officeDocument/2006/relationships" name="GTLB敏感性" sheetId="5" r:id="Rd200241ab37c4505"/>
    <x:sheet xmlns:r="http://schemas.openxmlformats.org/officeDocument/2006/relationships" name="PATH敏感性" sheetId="6" r:id="Ra2209aa60a444edc"/>
    <x:sheet xmlns:r="http://schemas.openxmlformats.org/officeDocument/2006/relationships" name="检查" sheetId="7" r:id="Rf9b3775f2ded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0.0x"/>
    <x:numFmt numFmtId="202" formatCode="0.0%"/>
    <x:numFmt numFmtId="203" formatCode="0.000"/>
    <x:numFmt numFmtId="204" formatCode="0%"/>
    <x:numFmt numFmtId="205" formatCode="$0.00"/>
  </x:numFmts>
  <x:fonts count="14">
    <x:font>
      <x:sz val="11"/>
      <x:name val="Carlito"/>
    </x:font>
    <x:font>
      <x:b/>
      <x:sz val="24"/>
      <x:color rgb="FFFFFFFF"/>
      <x:name val="Carlito"/>
    </x:font>
    <x:font>
      <x:b/>
      <x:sz val="12"/>
      <x:color rgb="FF203A5F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203A5F"/>
      <x:name val="Carlito"/>
    </x:font>
    <x:font>
      <x:b/>
      <x:sz val="18"/>
      <x:color rgb="FFFFFFFF"/>
      <x:name val="Carlito"/>
    </x:font>
    <x:font>
      <x:i/>
      <x:sz val="10"/>
      <x:color rgb="FF5E6B78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sz val="9"/>
      <x:color rgb="FF2F6BFF"/>
      <x:name val="Carlito"/>
    </x:font>
    <x:font>
      <x:sz val="9"/>
      <x:color rgb="FF1B9E77"/>
      <x:name val="Carlito"/>
    </x:font>
    <x:font>
      <x:b/>
      <x:sz val="11"/>
      <x:color rgb="FF2F6BFF"/>
      <x:name val="Carlito"/>
    </x:font>
    <x:font>
      <x:sz val="11"/>
      <x:color rgb="FF1B9E7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1FF"/>
      </x:patternFill>
    </x:fill>
    <x:fill>
      <x:patternFill patternType="solid">
        <x:fgColor rgb="FF203A5F"/>
      </x:patternFill>
    </x:fill>
    <x:fill>
      <x:patternFill patternType="solid">
        <x:fgColor rgb="FFEEF3F8"/>
      </x:patternFill>
    </x:fill>
    <x:fill>
      <x:patternFill patternType="solid">
        <x:fgColor rgb="FFE9F6F1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0"/>
    </x:xf>
    <x:xf numFmtId="0" fontId="9" fillId="0" borderId="1" xfId="0" applyNumberFormat="1" applyFont="1" applyFill="1" applyBorder="1" applyAlignment="1">
      <x:alignment vertical="center" wrapText="0"/>
    </x:xf>
    <x:xf numFmtId="0" fontId="9" fillId="5" borderId="1" xfId="0" applyNumberFormat="1" applyFont="1" applyFill="1" applyBorder="1" applyAlignment="1">
      <x:alignment vertical="center" wrapText="0"/>
    </x:xf>
    <x:xf numFmtId="200" fontId="9" fillId="5" borderId="1" xfId="0" applyNumberFormat="1" applyFont="1" applyFill="1" applyBorder="1" applyAlignment="1">
      <x:alignment vertical="center" wrapText="0"/>
    </x:xf>
    <x:xf numFmtId="200" fontId="9" fillId="0" borderId="1" xfId="0" applyNumberFormat="1" applyFont="1" applyFill="1" applyBorder="1" applyAlignment="1">
      <x:alignment vertical="center" wrapText="0"/>
    </x:xf>
    <x:xf numFmtId="201" fontId="9" fillId="5" borderId="1" xfId="0" applyNumberFormat="1" applyFont="1" applyFill="1" applyBorder="1" applyAlignment="1">
      <x:alignment vertical="center" wrapText="0"/>
    </x:xf>
    <x:xf numFmtId="201" fontId="9" fillId="0" borderId="1" xfId="0" applyNumberFormat="1" applyFont="1" applyFill="1" applyBorder="1" applyAlignment="1">
      <x:alignment vertical="center" wrapText="0"/>
    </x:xf>
    <x:xf numFmtId="200" fontId="9" fillId="3" borderId="1" xfId="0" applyNumberFormat="1" applyFont="1" applyFill="1" applyBorder="1" applyAlignment="1">
      <x:alignment vertical="center" wrapText="0"/>
    </x:xf>
    <x:xf numFmtId="201" fontId="9" fillId="3" borderId="1" xfId="0" applyNumberFormat="1" applyFont="1" applyFill="1" applyBorder="1" applyAlignment="1">
      <x:alignment vertical="center" wrapText="0"/>
    </x:xf>
    <x:xf numFmtId="200" fontId="10" fillId="3" borderId="1" xfId="0" applyNumberFormat="1" applyFont="1" applyFill="1" applyBorder="1" applyAlignment="1">
      <x:alignment vertical="center" wrapText="0"/>
    </x:xf>
    <x:xf numFmtId="201" fontId="10" fillId="3" borderId="1" xfId="0" applyNumberFormat="1" applyFont="1" applyFill="1" applyBorder="1" applyAlignment="1">
      <x:alignment vertical="center" wrapText="0"/>
    </x:xf>
    <x:xf numFmtId="202" fontId="9" fillId="5" borderId="1" xfId="0" applyNumberFormat="1" applyFont="1" applyFill="1" applyBorder="1" applyAlignment="1">
      <x:alignment vertical="center" wrapText="0"/>
    </x:xf>
    <x:xf numFmtId="202" fontId="9" fillId="0" borderId="1" xfId="0" applyNumberFormat="1" applyFont="1" applyFill="1" applyBorder="1" applyAlignment="1">
      <x:alignment vertical="center" wrapText="0"/>
    </x:xf>
    <x:xf numFmtId="203" fontId="9" fillId="5" borderId="1" xfId="0" applyNumberFormat="1" applyFont="1" applyFill="1" applyBorder="1" applyAlignment="1">
      <x:alignment vertical="center" wrapText="0"/>
    </x:xf>
    <x:xf numFmtId="203" fontId="9" fillId="0" borderId="1" xfId="0" applyNumberFormat="1" applyFont="1" applyFill="1" applyBorder="1" applyAlignment="1">
      <x:alignment vertical="center" wrapText="0"/>
    </x:xf>
    <x:xf numFmtId="200" fontId="9" fillId="6" borderId="1" xfId="0" applyNumberFormat="1" applyFont="1" applyFill="1" applyBorder="1" applyAlignment="1">
      <x:alignment vertical="center" wrapText="0"/>
    </x:xf>
    <x:xf numFmtId="201" fontId="9" fillId="6" borderId="1" xfId="0" applyNumberFormat="1" applyFont="1" applyFill="1" applyBorder="1" applyAlignment="1">
      <x:alignment vertical="center" wrapText="0"/>
    </x:xf>
    <x:xf numFmtId="202" fontId="9" fillId="6" borderId="1" xfId="0" applyNumberFormat="1" applyFont="1" applyFill="1" applyBorder="1" applyAlignment="1">
      <x:alignment vertical="center" wrapText="0"/>
    </x:xf>
    <x:xf numFmtId="203" fontId="9" fillId="6" borderId="1" xfId="0" applyNumberFormat="1" applyFont="1" applyFill="1" applyBorder="1" applyAlignment="1">
      <x:alignment vertical="center" wrapText="0"/>
    </x:xf>
    <x:xf numFmtId="200" fontId="11" fillId="6" borderId="1" xfId="0" applyNumberFormat="1" applyFont="1" applyFill="1" applyBorder="1" applyAlignment="1">
      <x:alignment vertical="center" wrapText="0"/>
    </x:xf>
    <x:xf numFmtId="201" fontId="11" fillId="6" borderId="1" xfId="0" applyNumberFormat="1" applyFont="1" applyFill="1" applyBorder="1" applyAlignment="1">
      <x:alignment vertical="center" wrapText="0"/>
    </x:xf>
    <x:xf numFmtId="202" fontId="11" fillId="6" borderId="1" xfId="0" applyNumberFormat="1" applyFont="1" applyFill="1" applyBorder="1" applyAlignment="1">
      <x:alignment vertical="center" wrapText="0"/>
    </x:xf>
    <x:xf numFmtId="203" fontId="11" fillId="6" borderId="1" xfId="0" applyNumberFormat="1" applyFont="1" applyFill="1" applyBorder="1" applyAlignment="1">
      <x:alignment vertical="center" wrapText="0"/>
    </x:xf>
    <x:xf numFmtId="0" fontId="12" fillId="3" borderId="0" xfId="0" applyNumberFormat="1" applyFont="1" applyFill="1" applyBorder="1"/>
    <x:xf numFmtId="0" fontId="12" fillId="3" borderId="1" xfId="0" applyNumberFormat="1" applyFont="1" applyFill="1" applyBorder="1"/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1" xfId="0" applyNumberFormat="1" applyFont="1" applyFill="1" applyBorder="1"/>
    <x:xf numFmtId="204" fontId="12" fillId="3" borderId="1" xfId="0" applyNumberFormat="1" applyFont="1" applyFill="1" applyBorder="1"/>
    <x:xf numFmtId="201" fontId="3" fillId="4" borderId="1" xfId="0" applyNumberFormat="1" applyFont="1" applyFill="1" applyBorder="1"/>
    <x:xf numFmtId="205" fontId="13" fillId="6" borderId="1" xfId="0" applyNumberFormat="1" applyFont="1" applyFill="1" applyBorder="1"/>
    <x:xf numFmtId="200" fontId="0" fillId="3" borderId="0" xfId="0" applyNumberFormat="1" applyFont="1" applyFill="1" applyBorder="1"/>
    <x:xf numFmtId="203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e7020ccfc457b" /><Relationship Type="http://schemas.openxmlformats.org/officeDocument/2006/relationships/theme" Target="/xl/theme/theme1.xml" Id="R19a6ea122ad54343" /><Relationship Type="http://schemas.openxmlformats.org/officeDocument/2006/relationships/sharedStrings" Target="/xl/sharedStrings.xml" Id="R3705d015c9db4ecf" /><Relationship Type="http://schemas.openxmlformats.org/officeDocument/2006/relationships/worksheet" Target="/xl/worksheets/sheet1.xml" Id="R202838e499574b32" /><Relationship Type="http://schemas.openxmlformats.org/officeDocument/2006/relationships/worksheet" Target="/xl/worksheets/sheet2.xml" Id="Rf19da3a1bee84258" /><Relationship Type="http://schemas.openxmlformats.org/officeDocument/2006/relationships/worksheet" Target="/xl/worksheets/sheet3.xml" Id="Rb3fc402c1f4a4a6f" /><Relationship Type="http://schemas.openxmlformats.org/officeDocument/2006/relationships/worksheet" Target="/xl/worksheets/sheet4.xml" Id="R83538044acee4458" /><Relationship Type="http://schemas.openxmlformats.org/officeDocument/2006/relationships/worksheet" Target="/xl/worksheets/sheet5.xml" Id="Rd200241ab37c4505" /><Relationship Type="http://schemas.openxmlformats.org/officeDocument/2006/relationships/worksheet" Target="/xl/worksheets/sheet6.xml" Id="Ra2209aa60a444edc" /><Relationship Type="http://schemas.openxmlformats.org/officeDocument/2006/relationships/worksheet" Target="/xl/worksheets/sheet7.xml" Id="Rf9b3775f2ded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Valuation Scenarios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5" ht="34" customHeight="1">
      <x:c r="A5" s="9" t="str">
        <x:v>NOW / GTLB / PATH：目标年 EV/Sales 三情景与二维敏感性。</x:v>
      </x:c>
      <x:c r="B5" s="9"/>
      <x:c r="C5" s="9"/>
      <x:c r="D5" s="9"/>
      <x:c r="E5" s="9"/>
      <x:c r="F5" s="9"/>
      <x:c r="G5" s="9"/>
      <x:c r="H5" s="9"/>
    </x:row>
    <x:row r="7" ht="28" customHeight="1">
      <x:c r="A7" s="12" t="str">
        <x:v>研究截止日</x:v>
      </x:c>
      <x:c r="B7" s="16" t="str">
        <x:v>2026-07-29</x:v>
      </x:c>
    </x:row>
    <x:row r="8" ht="28" customHeight="1">
      <x:c r="A8" s="12" t="str">
        <x:v>市场价日期</x:v>
      </x:c>
      <x:c r="B8" s="16" t="str">
        <x:v>2026-07-28 收盘</x:v>
      </x:c>
    </x:row>
    <x:row r="9" ht="28" customHeight="1">
      <x:c r="A9" s="12" t="str">
        <x:v>单位</x:v>
      </x:c>
      <x:c r="B9" s="16" t="str">
        <x:v>除特别说明外：USD mm / 每股 USD</x:v>
      </x:c>
    </x:row>
    <x:row r="10" ht="28" customHeight="1">
      <x:c r="A10" s="12" t="str">
        <x:v>颜色规则</x:v>
      </x:c>
      <x:c r="B10" s="16" t="str">
        <x:v>蓝色=外部/管理层输入；绿色=公式；灰色=作者假设</x:v>
      </x:c>
    </x:row>
    <x:row r="11" ht="28" customHeight="1">
      <x:c r="A11" s="12" t="str">
        <x:v>免责声明</x:v>
      </x:c>
      <x:c r="B11" s="16" t="str">
        <x:v>研究演示，不构成投资建议。预测与倍数均为作者假设。</x:v>
      </x:c>
    </x:row>
    <x:row r="12" ht="28" customHeight="1"/>
    <x:row r="13" ht="28" customHeight="1">
      <x:c r="A13" s="11" t="str">
        <x:v>工作表说明</x:v>
      </x:c>
      <x:c r="B13" s="11"/>
      <x:c r="C13" s="11"/>
      <x:c r="D13" s="11"/>
      <x:c r="E13" s="11"/>
      <x:c r="F13" s="11"/>
      <x:c r="G13" s="11"/>
      <x:c r="H13" s="11"/>
    </x:row>
    <x:row r="14" ht="28" customHeight="1">
      <x:c r="A14" s="18" t="str">
        <x:v>假设</x:v>
      </x:c>
      <x:c r="B14" s="19" t="str">
        <x:v>市场价、目标年收入、倍数、净现金和稀释股数。</x:v>
      </x:c>
    </x:row>
    <x:row r="15" ht="28" customHeight="1">
      <x:c r="A15" s="18" t="str">
        <x:v>估值</x:v>
      </x:c>
      <x:c r="B15" s="19" t="str">
        <x:v>EV → 股权价值 → 目标价 → 上下行。</x:v>
      </x:c>
    </x:row>
    <x:row r="16" ht="28" customHeight="1">
      <x:c r="A16" s="18" t="str">
        <x:v>敏感性</x:v>
      </x:c>
      <x:c r="B16" s="19" t="str">
        <x:v>每家公司收入变化 × EV/Sales 倍数。</x:v>
      </x:c>
    </x:row>
    <x:row r="17" ht="28" customHeight="1">
      <x:c r="A17" s="18" t="str">
        <x:v>检查</x:v>
      </x:c>
      <x:c r="B17" s="19" t="str">
        <x:v>估值桥与市场价日期。</x:v>
      </x:c>
    </x:row>
    <x:row r="18" ht="28" customHeight="1"/>
    <x:row r="19" ht="28" customHeight="1"/>
    <x:row r="20" ht="28" customHeight="1"/>
  </x:sheetData>
  <x:mergeCells>
    <x:mergeCell ref="A1:H3"/>
    <x:mergeCell ref="A5:H5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6" hidden="0" customWidth="1"/>
    <x:col min="10" max="10" width="18" hidden="0" customWidth="1"/>
    <x:col min="11" max="11" width="24" hidden="0" customWidth="1"/>
  </x:cols>
  <x:sheetData>
    <x:row r="1" ht="32" customHeight="1">
      <x:c r="A1" s="21" t="str">
        <x:v>估值假设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 ht="24" customHeight="1">
      <x:c r="A2" s="24" t="str">
        <x:v>蓝色输入；目标年收入来自公司财务模型的作者情景。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30" customHeight="1">
      <x:c r="A4" s="28" t="str">
        <x:v>Ticker</x:v>
      </x:c>
      <x:c r="B4" s="28" t="str">
        <x:v>公司</x:v>
      </x:c>
      <x:c r="C4" s="28" t="str">
        <x:v>情景</x:v>
      </x:c>
      <x:c r="D4" s="28" t="str">
        <x:v>当前价</x:v>
      </x:c>
      <x:c r="E4" s="28" t="str">
        <x:v>目标财年</x:v>
      </x:c>
      <x:c r="F4" s="28" t="str">
        <x:v>目标收入</x:v>
      </x:c>
      <x:c r="G4" s="28" t="str">
        <x:v>EV/Sales</x:v>
      </x:c>
      <x:c r="H4" s="28" t="str">
        <x:v>净现金</x:v>
      </x:c>
      <x:c r="I4" s="28" t="str">
        <x:v>目标稀释股数</x:v>
      </x:c>
      <x:c r="J4" s="28" t="str">
        <x:v>来源类型</x:v>
      </x:c>
      <x:c r="K4" s="28" t="str">
        <x:v>来源</x:v>
      </x:c>
    </x:row>
    <x:row r="5">
      <x:c r="A5" s="33" t="str">
        <x:v>NOW</x:v>
      </x:c>
      <x:c r="B5" s="33" t="str">
        <x:v>ServiceNow</x:v>
      </x:c>
      <x:c r="C5" s="33" t="str">
        <x:v>Bear</x:v>
      </x:c>
      <x:c r="D5" s="40" t="n">
        <x:v>110.62</x:v>
      </x:c>
      <x:c r="E5" s="40" t="n">
        <x:v>2027</x:v>
      </x:c>
      <x:c r="F5" s="40" t="n">
        <x:v>17712.852</x:v>
      </x:c>
      <x:c r="G5" s="41" t="n">
        <x:v>4.5</x:v>
      </x:c>
      <x:c r="H5" s="40" t="n">
        <x:v>-810</x:v>
      </x:c>
      <x:c r="I5" s="40" t="n">
        <x:v>1060.904</x:v>
      </x:c>
      <x:c r="J5" s="33" t="str">
        <x:v>Author valuation</x:v>
      </x:c>
      <x:c r="K5" s="33" t="str">
        <x:v>S01;S10;S31</x:v>
      </x:c>
    </x:row>
    <x:row r="6">
      <x:c r="A6" s="32" t="str">
        <x:v>NOW</x:v>
      </x:c>
      <x:c r="B6" s="32" t="str">
        <x:v>ServiceNow</x:v>
      </x:c>
      <x:c r="C6" s="32" t="str">
        <x:v>Base</x:v>
      </x:c>
      <x:c r="D6" s="40" t="n">
        <x:v>110.62</x:v>
      </x:c>
      <x:c r="E6" s="40" t="n">
        <x:v>2027</x:v>
      </x:c>
      <x:c r="F6" s="40" t="n">
        <x:v>19277</x:v>
      </x:c>
      <x:c r="G6" s="41" t="n">
        <x:v>7</x:v>
      </x:c>
      <x:c r="H6" s="40" t="n">
        <x:v>-810</x:v>
      </x:c>
      <x:c r="I6" s="40" t="n">
        <x:v>1060.904</x:v>
      </x:c>
      <x:c r="J6" s="32" t="str">
        <x:v>Author valuation</x:v>
      </x:c>
      <x:c r="K6" s="32" t="str">
        <x:v>S01;S10;S31</x:v>
      </x:c>
    </x:row>
    <x:row r="7">
      <x:c r="A7" s="33" t="str">
        <x:v>NOW</x:v>
      </x:c>
      <x:c r="B7" s="33" t="str">
        <x:v>ServiceNow</x:v>
      </x:c>
      <x:c r="C7" s="33" t="str">
        <x:v>Bull</x:v>
      </x:c>
      <x:c r="D7" s="40" t="n">
        <x:v>110.62</x:v>
      </x:c>
      <x:c r="E7" s="40" t="n">
        <x:v>2027</x:v>
      </x:c>
      <x:c r="F7" s="40" t="n">
        <x:v>20248.95</x:v>
      </x:c>
      <x:c r="G7" s="41" t="n">
        <x:v>9</x:v>
      </x:c>
      <x:c r="H7" s="40" t="n">
        <x:v>-810</x:v>
      </x:c>
      <x:c r="I7" s="40" t="n">
        <x:v>1060.904</x:v>
      </x:c>
      <x:c r="J7" s="33" t="str">
        <x:v>Author valuation</x:v>
      </x:c>
      <x:c r="K7" s="33" t="str">
        <x:v>S01;S10;S31</x:v>
      </x:c>
    </x:row>
    <x:row r="8">
      <x:c r="A8" s="32" t="str">
        <x:v>GTLB</x:v>
      </x:c>
      <x:c r="B8" s="32" t="str">
        <x:v>GitLab</x:v>
      </x:c>
      <x:c r="C8" s="32" t="str">
        <x:v>Bear</x:v>
      </x:c>
      <x:c r="D8" s="40" t="n">
        <x:v>32.965</x:v>
      </x:c>
      <x:c r="E8" s="40" t="n">
        <x:v>2028</x:v>
      </x:c>
      <x:c r="F8" s="40" t="n">
        <x:v>1241.409</x:v>
      </x:c>
      <x:c r="G8" s="41" t="n">
        <x:v>3.5</x:v>
      </x:c>
      <x:c r="H8" s="40" t="n">
        <x:v>1357.512</x:v>
      </x:c>
      <x:c r="I8" s="40" t="n">
        <x:v>173.364</x:v>
      </x:c>
      <x:c r="J8" s="32" t="str">
        <x:v>Author valuation</x:v>
      </x:c>
      <x:c r="K8" s="32" t="str">
        <x:v>S02;S11;S16;S17;S31</x:v>
      </x:c>
    </x:row>
    <x:row r="9">
      <x:c r="A9" s="33" t="str">
        <x:v>GTLB</x:v>
      </x:c>
      <x:c r="B9" s="33" t="str">
        <x:v>GitLab</x:v>
      </x:c>
      <x:c r="C9" s="33" t="str">
        <x:v>Base</x:v>
      </x:c>
      <x:c r="D9" s="40" t="n">
        <x:v>32.965</x:v>
      </x:c>
      <x:c r="E9" s="40" t="n">
        <x:v>2028</x:v>
      </x:c>
      <x:c r="F9" s="40" t="n">
        <x:v>1348.843</x:v>
      </x:c>
      <x:c r="G9" s="41" t="n">
        <x:v>5.5</x:v>
      </x:c>
      <x:c r="H9" s="40" t="n">
        <x:v>1357.512</x:v>
      </x:c>
      <x:c r="I9" s="40" t="n">
        <x:v>173.364</x:v>
      </x:c>
      <x:c r="J9" s="33" t="str">
        <x:v>Author valuation</x:v>
      </x:c>
      <x:c r="K9" s="33" t="str">
        <x:v>S02;S11;S16;S17;S31</x:v>
      </x:c>
    </x:row>
    <x:row r="10">
      <x:c r="A10" s="32" t="str">
        <x:v>GTLB</x:v>
      </x:c>
      <x:c r="B10" s="32" t="str">
        <x:v>GitLab</x:v>
      </x:c>
      <x:c r="C10" s="32" t="str">
        <x:v>Bull</x:v>
      </x:c>
      <x:c r="D10" s="40" t="n">
        <x:v>32.965</x:v>
      </x:c>
      <x:c r="E10" s="40" t="n">
        <x:v>2028</x:v>
      </x:c>
      <x:c r="F10" s="40" t="n">
        <x:v>1420.896</x:v>
      </x:c>
      <x:c r="G10" s="41" t="n">
        <x:v>8</x:v>
      </x:c>
      <x:c r="H10" s="40" t="n">
        <x:v>1357.512</x:v>
      </x:c>
      <x:c r="I10" s="40" t="n">
        <x:v>173.364</x:v>
      </x:c>
      <x:c r="J10" s="32" t="str">
        <x:v>Author valuation</x:v>
      </x:c>
      <x:c r="K10" s="32" t="str">
        <x:v>S02;S11;S16;S17;S31</x:v>
      </x:c>
    </x:row>
    <x:row r="11">
      <x:c r="A11" s="33" t="str">
        <x:v>PATH</x:v>
      </x:c>
      <x:c r="B11" s="33" t="str">
        <x:v>UiPath</x:v>
      </x:c>
      <x:c r="C11" s="33" t="str">
        <x:v>Bear</x:v>
      </x:c>
      <x:c r="D11" s="40" t="n">
        <x:v>12.19</x:v>
      </x:c>
      <x:c r="E11" s="40" t="n">
        <x:v>2028</x:v>
      </x:c>
      <x:c r="F11" s="40" t="n">
        <x:v>1826.389</x:v>
      </x:c>
      <x:c r="G11" s="41" t="n">
        <x:v>2</x:v>
      </x:c>
      <x:c r="H11" s="40" t="n">
        <x:v>1415.746</x:v>
      </x:c>
      <x:c r="I11" s="40" t="n">
        <x:v>517.314</x:v>
      </x:c>
      <x:c r="J11" s="33" t="str">
        <x:v>Author valuation</x:v>
      </x:c>
      <x:c r="K11" s="33" t="str">
        <x:v>S03;S12;S19;S20;S21;S31</x:v>
      </x:c>
    </x:row>
    <x:row r="12">
      <x:c r="A12" s="32" t="str">
        <x:v>PATH</x:v>
      </x:c>
      <x:c r="B12" s="32" t="str">
        <x:v>UiPath</x:v>
      </x:c>
      <x:c r="C12" s="32" t="str">
        <x:v>Base</x:v>
      </x:c>
      <x:c r="D12" s="40" t="n">
        <x:v>12.19</x:v>
      </x:c>
      <x:c r="E12" s="40" t="n">
        <x:v>2028</x:v>
      </x:c>
      <x:c r="F12" s="40" t="n">
        <x:v>1955.879</x:v>
      </x:c>
      <x:c r="G12" s="41" t="n">
        <x:v>3</x:v>
      </x:c>
      <x:c r="H12" s="40" t="n">
        <x:v>1415.746</x:v>
      </x:c>
      <x:c r="I12" s="40" t="n">
        <x:v>517.314</x:v>
      </x:c>
      <x:c r="J12" s="32" t="str">
        <x:v>Author valuation</x:v>
      </x:c>
      <x:c r="K12" s="32" t="str">
        <x:v>S03;S12;S19;S20;S21;S31</x:v>
      </x:c>
    </x:row>
    <x:row r="13">
      <x:c r="A13" s="33" t="str">
        <x:v>PATH</x:v>
      </x:c>
      <x:c r="B13" s="33" t="str">
        <x:v>UiPath</x:v>
      </x:c>
      <x:c r="C13" s="33" t="str">
        <x:v>Bull</x:v>
      </x:c>
      <x:c r="D13" s="40" t="n">
        <x:v>12.19</x:v>
      </x:c>
      <x:c r="E13" s="40" t="n">
        <x:v>2028</x:v>
      </x:c>
      <x:c r="F13" s="40" t="n">
        <x:v>2147.537</x:v>
      </x:c>
      <x:c r="G13" s="41" t="n">
        <x:v>5</x:v>
      </x:c>
      <x:c r="H13" s="40" t="n">
        <x:v>1415.746</x:v>
      </x:c>
      <x:c r="I13" s="40" t="n">
        <x:v>517.314</x:v>
      </x:c>
      <x:c r="J13" s="33" t="str">
        <x:v>Author valuation</x:v>
      </x:c>
      <x:c r="K13" s="33" t="str">
        <x:v>S03;S12;S19;S20;S21;S31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12" hidden="0" customWidth="1"/>
    <x:col min="5" max="5" width="16" hidden="0" customWidth="1"/>
    <x:col min="6" max="6" width="12" hidden="0" customWidth="1"/>
    <x:col min="7" max="7" width="16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2" customHeight="1">
      <x:c r="A1" s="21" t="str">
        <x:v>估值输出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</x:row>
    <x:row r="2" ht="24" customHeight="1">
      <x:c r="A2" s="24" t="str">
        <x:v>目标价不贴现；用于相对风险回报，不是精确点估计。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</x:row>
    <x:row r="4" ht="30" customHeight="1">
      <x:c r="A4" s="28" t="str">
        <x:v>Ticker</x:v>
      </x:c>
      <x:c r="B4" s="28" t="str">
        <x:v>公司</x:v>
      </x:c>
      <x:c r="C4" s="28" t="str">
        <x:v>情景</x:v>
      </x:c>
      <x:c r="D4" s="28" t="str">
        <x:v>当前价</x:v>
      </x:c>
      <x:c r="E4" s="28" t="str">
        <x:v>目标收入</x:v>
      </x:c>
      <x:c r="F4" s="28" t="str">
        <x:v>EV/Sales</x:v>
      </x:c>
      <x:c r="G4" s="28" t="str">
        <x:v>目标EV</x:v>
      </x:c>
      <x:c r="H4" s="28" t="str">
        <x:v>净现金</x:v>
      </x:c>
      <x:c r="I4" s="28" t="str">
        <x:v>股权价值</x:v>
      </x:c>
      <x:c r="J4" s="28" t="str">
        <x:v>目标股数</x:v>
      </x:c>
      <x:c r="K4" s="28" t="str">
        <x:v>目标价</x:v>
      </x:c>
      <x:c r="L4" s="28" t="str">
        <x:v>上下行</x:v>
      </x:c>
      <x:c r="M4" s="28" t="str">
        <x:v>EV桥</x:v>
      </x:c>
      <x:c r="N4" s="28" t="str">
        <x:v>股权桥</x:v>
      </x:c>
      <x:c r="O4" s="28" t="str">
        <x:v>目标价桥</x:v>
      </x:c>
    </x:row>
    <x:row r="5">
      <x:c r="A5" s="33" t="str">
        <x:v>NOW</x:v>
      </x:c>
      <x:c r="B5" s="33" t="str">
        <x:v>ServiceNow</x:v>
      </x:c>
      <x:c r="C5" s="33" t="str">
        <x:v>Bear</x:v>
      </x:c>
      <x:c r="D5" s="34" t="n">
        <x:v>110.62</x:v>
      </x:c>
      <x:c r="E5" s="50" t="n">
        <x:f>'假设'!F5</x:f>
        <x:v>17712.852</x:v>
      </x:c>
      <x:c r="F5" s="51" t="n">
        <x:f>'假设'!G5</x:f>
        <x:v>4.5</x:v>
      </x:c>
      <x:c r="G5" s="50" t="n">
        <x:f>E5*F5</x:f>
        <x:v>79707.834</x:v>
      </x:c>
      <x:c r="H5" s="50" t="n">
        <x:f>'假设'!H5</x:f>
        <x:v>-810</x:v>
      </x:c>
      <x:c r="I5" s="50" t="n">
        <x:f>G5+H5</x:f>
        <x:v>78897.834</x:v>
      </x:c>
      <x:c r="J5" s="50" t="n">
        <x:f>'假设'!I5</x:f>
        <x:v>1060.904</x:v>
      </x:c>
      <x:c r="K5" s="50" t="n">
        <x:f>I5/J5</x:f>
        <x:v>74.36849517015678</x:v>
      </x:c>
      <x:c r="L5" s="52" t="n">
        <x:f>K5/D5-1</x:f>
        <x:v>-0.32771203064403565</x:v>
      </x:c>
      <x:c r="M5" s="53" t="n">
        <x:f>G5-E5*F5</x:f>
        <x:v>0</x:v>
      </x:c>
      <x:c r="N5" s="53" t="n">
        <x:f>I5-(G5+H5)</x:f>
        <x:v>0</x:v>
      </x:c>
      <x:c r="O5" s="53" t="n">
        <x:f>K5-I5/J5</x:f>
        <x:v>0</x:v>
      </x:c>
    </x:row>
    <x:row r="6">
      <x:c r="A6" s="32" t="str">
        <x:v>NOW</x:v>
      </x:c>
      <x:c r="B6" s="32" t="str">
        <x:v>ServiceNow</x:v>
      </x:c>
      <x:c r="C6" s="32" t="str">
        <x:v>Base</x:v>
      </x:c>
      <x:c r="D6" s="35" t="n">
        <x:v>110.62</x:v>
      </x:c>
      <x:c r="E6" s="50" t="n">
        <x:f>'假设'!F6</x:f>
        <x:v>19277</x:v>
      </x:c>
      <x:c r="F6" s="51" t="n">
        <x:f>'假设'!G6</x:f>
        <x:v>7</x:v>
      </x:c>
      <x:c r="G6" s="50" t="n">
        <x:f>E6*F6</x:f>
        <x:v>134939</x:v>
      </x:c>
      <x:c r="H6" s="50" t="n">
        <x:f>'假设'!H6</x:f>
        <x:v>-810</x:v>
      </x:c>
      <x:c r="I6" s="50" t="n">
        <x:f>G6+H6</x:f>
        <x:v>134129</x:v>
      </x:c>
      <x:c r="J6" s="50" t="n">
        <x:f>'假设'!I6</x:f>
        <x:v>1060.904</x:v>
      </x:c>
      <x:c r="K6" s="50" t="n">
        <x:f>I6/J6</x:f>
        <x:v>126.42897001048162</x:v>
      </x:c>
      <x:c r="L6" s="52" t="n">
        <x:f>K6/D6-1</x:f>
        <x:v>0.14291240291521978</x:v>
      </x:c>
      <x:c r="M6" s="53" t="n">
        <x:f>G6-E6*F6</x:f>
        <x:v>0</x:v>
      </x:c>
      <x:c r="N6" s="53" t="n">
        <x:f>I6-(G6+H6)</x:f>
        <x:v>0</x:v>
      </x:c>
      <x:c r="O6" s="53" t="n">
        <x:f>K6-I6/J6</x:f>
        <x:v>0</x:v>
      </x:c>
    </x:row>
    <x:row r="7">
      <x:c r="A7" s="33" t="str">
        <x:v>NOW</x:v>
      </x:c>
      <x:c r="B7" s="33" t="str">
        <x:v>ServiceNow</x:v>
      </x:c>
      <x:c r="C7" s="33" t="str">
        <x:v>Bull</x:v>
      </x:c>
      <x:c r="D7" s="34" t="n">
        <x:v>110.62</x:v>
      </x:c>
      <x:c r="E7" s="50" t="n">
        <x:f>'假设'!F7</x:f>
        <x:v>20248.95</x:v>
      </x:c>
      <x:c r="F7" s="51" t="n">
        <x:f>'假设'!G7</x:f>
        <x:v>9</x:v>
      </x:c>
      <x:c r="G7" s="50" t="n">
        <x:f>E7*F7</x:f>
        <x:v>182240.55000000002</x:v>
      </x:c>
      <x:c r="H7" s="50" t="n">
        <x:f>'假设'!H7</x:f>
        <x:v>-810</x:v>
      </x:c>
      <x:c r="I7" s="50" t="n">
        <x:f>G7+H7</x:f>
        <x:v>181430.55000000002</x:v>
      </x:c>
      <x:c r="J7" s="50" t="n">
        <x:f>'假设'!I7</x:f>
        <x:v>1060.904</x:v>
      </x:c>
      <x:c r="K7" s="50" t="n">
        <x:f>I7/J7</x:f>
        <x:v>171.01504942954313</x:v>
      </x:c>
      <x:c r="L7" s="52" t="n">
        <x:f>K7/D7-1</x:f>
        <x:v>0.545968626193664</x:v>
      </x:c>
      <x:c r="M7" s="53" t="n">
        <x:f>G7-E7*F7</x:f>
        <x:v>0</x:v>
      </x:c>
      <x:c r="N7" s="53" t="n">
        <x:f>I7-(G7+H7)</x:f>
        <x:v>0</x:v>
      </x:c>
      <x:c r="O7" s="53" t="n">
        <x:f>K7-I7/J7</x:f>
        <x:v>0</x:v>
      </x:c>
    </x:row>
    <x:row r="8">
      <x:c r="A8" s="32" t="str">
        <x:v>GTLB</x:v>
      </x:c>
      <x:c r="B8" s="32" t="str">
        <x:v>GitLab</x:v>
      </x:c>
      <x:c r="C8" s="32" t="str">
        <x:v>Bear</x:v>
      </x:c>
      <x:c r="D8" s="35" t="n">
        <x:v>32.965</x:v>
      </x:c>
      <x:c r="E8" s="50" t="n">
        <x:f>'假设'!F8</x:f>
        <x:v>1241.409</x:v>
      </x:c>
      <x:c r="F8" s="51" t="n">
        <x:f>'假设'!G8</x:f>
        <x:v>3.5</x:v>
      </x:c>
      <x:c r="G8" s="50" t="n">
        <x:f>E8*F8</x:f>
        <x:v>4344.931500000001</x:v>
      </x:c>
      <x:c r="H8" s="50" t="n">
        <x:f>'假设'!H8</x:f>
        <x:v>1357.512</x:v>
      </x:c>
      <x:c r="I8" s="50" t="n">
        <x:f>G8+H8</x:f>
        <x:v>5702.4435</x:v>
      </x:c>
      <x:c r="J8" s="50" t="n">
        <x:f>'假设'!I8</x:f>
        <x:v>173.364</x:v>
      </x:c>
      <x:c r="K8" s="50" t="n">
        <x:f>I8/J8</x:f>
        <x:v>32.89289298816363</x:v>
      </x:c>
      <x:c r="L8" s="52" t="n">
        <x:f>K8/D8-1</x:f>
        <x:v>-0.0021873809141930156</x:v>
      </x:c>
      <x:c r="M8" s="53" t="n">
        <x:f>G8-E8*F8</x:f>
        <x:v>0</x:v>
      </x:c>
      <x:c r="N8" s="53" t="n">
        <x:f>I8-(G8+H8)</x:f>
        <x:v>0</x:v>
      </x:c>
      <x:c r="O8" s="53" t="n">
        <x:f>K8-I8/J8</x:f>
        <x:v>0</x:v>
      </x:c>
    </x:row>
    <x:row r="9">
      <x:c r="A9" s="33" t="str">
        <x:v>GTLB</x:v>
      </x:c>
      <x:c r="B9" s="33" t="str">
        <x:v>GitLab</x:v>
      </x:c>
      <x:c r="C9" s="33" t="str">
        <x:v>Base</x:v>
      </x:c>
      <x:c r="D9" s="34" t="n">
        <x:v>32.965</x:v>
      </x:c>
      <x:c r="E9" s="50" t="n">
        <x:f>'假设'!F9</x:f>
        <x:v>1348.843</x:v>
      </x:c>
      <x:c r="F9" s="51" t="n">
        <x:f>'假设'!G9</x:f>
        <x:v>5.5</x:v>
      </x:c>
      <x:c r="G9" s="50" t="n">
        <x:f>E9*F9</x:f>
        <x:v>7418.6365000000005</x:v>
      </x:c>
      <x:c r="H9" s="50" t="n">
        <x:f>'假设'!H9</x:f>
        <x:v>1357.512</x:v>
      </x:c>
      <x:c r="I9" s="50" t="n">
        <x:f>G9+H9</x:f>
        <x:v>8776.148500000001</x:v>
      </x:c>
      <x:c r="J9" s="50" t="n">
        <x:f>'假设'!I9</x:f>
        <x:v>173.364</x:v>
      </x:c>
      <x:c r="K9" s="50" t="n">
        <x:f>I9/J9</x:f>
        <x:v>50.622669643063155</x:v>
      </x:c>
      <x:c r="L9" s="52" t="n">
        <x:f>K9/D9-1</x:f>
        <x:v>0.5356490108619187</x:v>
      </x:c>
      <x:c r="M9" s="53" t="n">
        <x:f>G9-E9*F9</x:f>
        <x:v>0</x:v>
      </x:c>
      <x:c r="N9" s="53" t="n">
        <x:f>I9-(G9+H9)</x:f>
        <x:v>0</x:v>
      </x:c>
      <x:c r="O9" s="53" t="n">
        <x:f>K9-I9/J9</x:f>
        <x:v>0</x:v>
      </x:c>
    </x:row>
    <x:row r="10">
      <x:c r="A10" s="32" t="str">
        <x:v>GTLB</x:v>
      </x:c>
      <x:c r="B10" s="32" t="str">
        <x:v>GitLab</x:v>
      </x:c>
      <x:c r="C10" s="32" t="str">
        <x:v>Bull</x:v>
      </x:c>
      <x:c r="D10" s="35" t="n">
        <x:v>32.965</x:v>
      </x:c>
      <x:c r="E10" s="50" t="n">
        <x:f>'假设'!F10</x:f>
        <x:v>1420.896</x:v>
      </x:c>
      <x:c r="F10" s="51" t="n">
        <x:f>'假设'!G10</x:f>
        <x:v>8</x:v>
      </x:c>
      <x:c r="G10" s="50" t="n">
        <x:f>E10*F10</x:f>
        <x:v>11367.168</x:v>
      </x:c>
      <x:c r="H10" s="50" t="n">
        <x:f>'假设'!H10</x:f>
        <x:v>1357.512</x:v>
      </x:c>
      <x:c r="I10" s="50" t="n">
        <x:f>G10+H10</x:f>
        <x:v>12724.68</x:v>
      </x:c>
      <x:c r="J10" s="50" t="n">
        <x:f>'假设'!I10</x:f>
        <x:v>173.364</x:v>
      </x:c>
      <x:c r="K10" s="50" t="n">
        <x:f>I10/J10</x:f>
        <x:v>73.39862947324704</x:v>
      </x:c>
      <x:c r="L10" s="52" t="n">
        <x:f>K10/D10-1</x:f>
        <x:v>1.2265623987030803</x:v>
      </x:c>
      <x:c r="M10" s="53" t="n">
        <x:f>G10-E10*F10</x:f>
        <x:v>0</x:v>
      </x:c>
      <x:c r="N10" s="53" t="n">
        <x:f>I10-(G10+H10)</x:f>
        <x:v>0</x:v>
      </x:c>
      <x:c r="O10" s="53" t="n">
        <x:f>K10-I10/J10</x:f>
        <x:v>0</x:v>
      </x:c>
    </x:row>
    <x:row r="11">
      <x:c r="A11" s="33" t="str">
        <x:v>PATH</x:v>
      </x:c>
      <x:c r="B11" s="33" t="str">
        <x:v>UiPath</x:v>
      </x:c>
      <x:c r="C11" s="33" t="str">
        <x:v>Bear</x:v>
      </x:c>
      <x:c r="D11" s="34" t="n">
        <x:v>12.19</x:v>
      </x:c>
      <x:c r="E11" s="50" t="n">
        <x:f>'假设'!F11</x:f>
        <x:v>1826.389</x:v>
      </x:c>
      <x:c r="F11" s="51" t="n">
        <x:f>'假设'!G11</x:f>
        <x:v>2</x:v>
      </x:c>
      <x:c r="G11" s="50" t="n">
        <x:f>E11*F11</x:f>
        <x:v>3652.778</x:v>
      </x:c>
      <x:c r="H11" s="50" t="n">
        <x:f>'假设'!H11</x:f>
        <x:v>1415.746</x:v>
      </x:c>
      <x:c r="I11" s="50" t="n">
        <x:f>G11+H11</x:f>
        <x:v>5068.523999999999</x:v>
      </x:c>
      <x:c r="J11" s="50" t="n">
        <x:f>'假设'!I11</x:f>
        <x:v>517.314</x:v>
      </x:c>
      <x:c r="K11" s="50" t="n">
        <x:f>I11/J11</x:f>
        <x:v>9.797770792980666</x:v>
      </x:c>
      <x:c r="L11" s="52" t="n">
        <x:f>K11/D11-1</x:f>
        <x:v>-0.19624521796713157</x:v>
      </x:c>
      <x:c r="M11" s="53" t="n">
        <x:f>G11-E11*F11</x:f>
        <x:v>0</x:v>
      </x:c>
      <x:c r="N11" s="53" t="n">
        <x:f>I11-(G11+H11)</x:f>
        <x:v>0</x:v>
      </x:c>
      <x:c r="O11" s="53" t="n">
        <x:f>K11-I11/J11</x:f>
        <x:v>0</x:v>
      </x:c>
    </x:row>
    <x:row r="12">
      <x:c r="A12" s="32" t="str">
        <x:v>PATH</x:v>
      </x:c>
      <x:c r="B12" s="32" t="str">
        <x:v>UiPath</x:v>
      </x:c>
      <x:c r="C12" s="32" t="str">
        <x:v>Base</x:v>
      </x:c>
      <x:c r="D12" s="35" t="n">
        <x:v>12.19</x:v>
      </x:c>
      <x:c r="E12" s="50" t="n">
        <x:f>'假设'!F12</x:f>
        <x:v>1955.879</x:v>
      </x:c>
      <x:c r="F12" s="51" t="n">
        <x:f>'假设'!G12</x:f>
        <x:v>3</x:v>
      </x:c>
      <x:c r="G12" s="50" t="n">
        <x:f>E12*F12</x:f>
        <x:v>5867.637</x:v>
      </x:c>
      <x:c r="H12" s="50" t="n">
        <x:f>'假设'!H12</x:f>
        <x:v>1415.746</x:v>
      </x:c>
      <x:c r="I12" s="50" t="n">
        <x:f>G12+H12</x:f>
        <x:v>7283.383</x:v>
      </x:c>
      <x:c r="J12" s="50" t="n">
        <x:f>'假设'!I12</x:f>
        <x:v>517.314</x:v>
      </x:c>
      <x:c r="K12" s="50" t="n">
        <x:f>I12/J12</x:f>
        <x:v>14.079230409383856</x:v>
      </x:c>
      <x:c r="L12" s="52" t="n">
        <x:f>K12/D12-1</x:f>
        <x:v>0.1549819860035977</x:v>
      </x:c>
      <x:c r="M12" s="53" t="n">
        <x:f>G12-E12*F12</x:f>
        <x:v>0</x:v>
      </x:c>
      <x:c r="N12" s="53" t="n">
        <x:f>I12-(G12+H12)</x:f>
        <x:v>0</x:v>
      </x:c>
      <x:c r="O12" s="53" t="n">
        <x:f>K12-I12/J12</x:f>
        <x:v>0</x:v>
      </x:c>
    </x:row>
    <x:row r="13">
      <x:c r="A13" s="33" t="str">
        <x:v>PATH</x:v>
      </x:c>
      <x:c r="B13" s="33" t="str">
        <x:v>UiPath</x:v>
      </x:c>
      <x:c r="C13" s="33" t="str">
        <x:v>Bull</x:v>
      </x:c>
      <x:c r="D13" s="34" t="n">
        <x:v>12.19</x:v>
      </x:c>
      <x:c r="E13" s="50" t="n">
        <x:f>'假设'!F13</x:f>
        <x:v>2147.537</x:v>
      </x:c>
      <x:c r="F13" s="51" t="n">
        <x:f>'假设'!G13</x:f>
        <x:v>5</x:v>
      </x:c>
      <x:c r="G13" s="50" t="n">
        <x:f>E13*F13</x:f>
        <x:v>10737.685</x:v>
      </x:c>
      <x:c r="H13" s="50" t="n">
        <x:f>'假设'!H13</x:f>
        <x:v>1415.746</x:v>
      </x:c>
      <x:c r="I13" s="50" t="n">
        <x:f>G13+H13</x:f>
        <x:v>12153.431</x:v>
      </x:c>
      <x:c r="J13" s="50" t="n">
        <x:f>'假设'!I13</x:f>
        <x:v>517.314</x:v>
      </x:c>
      <x:c r="K13" s="50" t="n">
        <x:f>I13/J13</x:f>
        <x:v>23.493334802460403</x:v>
      </x:c>
      <x:c r="L13" s="52" t="n">
        <x:f>K13/D13-1</x:f>
        <x:v>0.9272629042215261</x:v>
      </x:c>
      <x:c r="M13" s="53" t="n">
        <x:f>G13-E13*F13</x:f>
        <x:v>0</x:v>
      </x:c>
      <x:c r="N13" s="53" t="n">
        <x:f>I13-(G13+H13)</x:f>
        <x:v>0</x:v>
      </x:c>
      <x:c r="O13" s="53" t="n">
        <x:f>K13-I13/J13</x:f>
        <x:v>0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</x:cols>
  <x:sheetData>
    <x:row r="1" ht="32" customHeight="1">
      <x:c r="A1" s="21" t="str">
        <x:v>NOW 目标价敏感性</x:v>
      </x:c>
      <x:c r="B1" s="21"/>
      <x:c r="C1" s="21"/>
      <x:c r="D1" s="21"/>
      <x:c r="E1" s="21"/>
      <x:c r="F1" s="21"/>
      <x:c r="G1" s="21"/>
    </x:row>
    <x:row r="2" ht="24" customHeight="1">
      <x:c r="A2" s="24" t="str">
        <x:v>行=目标收入相对 Base；列=目标 EV/Sales。</x:v>
      </x:c>
      <x:c r="B2" s="24"/>
      <x:c r="C2" s="24"/>
      <x:c r="D2" s="24"/>
      <x:c r="E2" s="24"/>
      <x:c r="F2" s="24"/>
      <x:c r="G2" s="24"/>
    </x:row>
    <x:row r="4">
      <x:c r="A4" s="12" t="str">
        <x:v>收入 / 倍数</x:v>
      </x:c>
      <x:c r="B4" s="60" t="n">
        <x:v>4</x:v>
      </x:c>
      <x:c r="C4" s="60" t="n">
        <x:v>5.5</x:v>
      </x:c>
      <x:c r="D4" s="60" t="n">
        <x:v>7</x:v>
      </x:c>
      <x:c r="E4" s="60" t="n">
        <x:v>8.5</x:v>
      </x:c>
      <x:c r="F4" s="60" t="n">
        <x:v>10</x:v>
      </x:c>
    </x:row>
    <x:row r="5">
      <x:c r="A5" s="59" t="n">
        <x:v>-0.2</x:v>
      </x:c>
      <x:c r="B5" s="61" t="n">
        <x:f>((19277*(1+$A5))*B$4+-810)/1060.904</x:f>
        <x:v>57.38162925203412</x:v>
      </x:c>
      <x:c r="C5" s="61" t="n">
        <x:f>((19277*(1+$A5))*C$4+-810)/1060.904</x:f>
        <x:v>79.1860526494386</x:v>
      </x:c>
      <x:c r="D5" s="61" t="n">
        <x:f>((19277*(1+$A5))*D$4+-810)/1060.904</x:f>
        <x:v>100.99047604684307</x:v>
      </x:c>
      <x:c r="E5" s="61" t="n">
        <x:f>((19277*(1+$A5))*E$4+-810)/1060.904</x:f>
        <x:v>122.79489944424755</x:v>
      </x:c>
      <x:c r="F5" s="61" t="n">
        <x:f>((19277*(1+$A5))*F$4+-810)/1060.904</x:f>
        <x:v>144.59932284165203</x:v>
      </x:c>
    </x:row>
    <x:row r="6">
      <x:c r="A6" s="59" t="n">
        <x:v>-0.1</x:v>
      </x:c>
      <x:c r="B6" s="61" t="n">
        <x:f>((19277*(1+$A6))*B$4+-810)/1060.904</x:f>
        <x:v>64.64977038450228</x:v>
      </x:c>
      <x:c r="C6" s="61" t="n">
        <x:f>((19277*(1+$A6))*C$4+-810)/1060.904</x:f>
        <x:v>89.1797467065823</x:v>
      </x:c>
      <x:c r="D6" s="61" t="n">
        <x:f>((19277*(1+$A6))*D$4+-810)/1060.904</x:f>
        <x:v>113.70972302866234</x:v>
      </x:c>
      <x:c r="E6" s="61" t="n">
        <x:f>((19277*(1+$A6))*E$4+-810)/1060.904</x:f>
        <x:v>138.23969935074237</x:v>
      </x:c>
      <x:c r="F6" s="61" t="n">
        <x:f>((19277*(1+$A6))*F$4+-810)/1060.904</x:f>
        <x:v>162.76967567282242</x:v>
      </x:c>
    </x:row>
    <x:row r="7">
      <x:c r="A7" s="59" t="n">
        <x:v>0</x:v>
      </x:c>
      <x:c r="B7" s="61" t="n">
        <x:f>((19277*(1+$A7))*B$4+-810)/1060.904</x:f>
        <x:v>71.91791151697043</x:v>
      </x:c>
      <x:c r="C7" s="61" t="n">
        <x:f>((19277*(1+$A7))*C$4+-810)/1060.904</x:f>
        <x:v>99.17344076372603</x:v>
      </x:c>
      <x:c r="D7" s="61" t="n">
        <x:f>((19277*(1+$A7))*D$4+-810)/1060.904</x:f>
        <x:v>126.42897001048162</x:v>
      </x:c>
      <x:c r="E7" s="61" t="n">
        <x:f>((19277*(1+$A7))*E$4+-810)/1060.904</x:f>
        <x:v>153.68449925723723</x:v>
      </x:c>
      <x:c r="F7" s="61" t="n">
        <x:f>((19277*(1+$A7))*F$4+-810)/1060.904</x:f>
        <x:v>180.94002850399283</x:v>
      </x:c>
    </x:row>
    <x:row r="8">
      <x:c r="A8" s="59" t="n">
        <x:v>0.1</x:v>
      </x:c>
      <x:c r="B8" s="61" t="n">
        <x:f>((19277*(1+$A8))*B$4+-810)/1060.904</x:f>
        <x:v>79.1860526494386</x:v>
      </x:c>
      <x:c r="C8" s="61" t="n">
        <x:f>((19277*(1+$A8))*C$4+-810)/1060.904</x:f>
        <x:v>109.16713482086975</x:v>
      </x:c>
      <x:c r="D8" s="61" t="n">
        <x:f>((19277*(1+$A8))*D$4+-810)/1060.904</x:f>
        <x:v>139.1482169923009</x:v>
      </x:c>
      <x:c r="E8" s="61" t="n">
        <x:f>((19277*(1+$A8))*E$4+-810)/1060.904</x:f>
        <x:v>169.12929916373207</x:v>
      </x:c>
      <x:c r="F8" s="61" t="n">
        <x:f>((19277*(1+$A8))*F$4+-810)/1060.904</x:f>
        <x:v>199.11038133516323</x:v>
      </x:c>
    </x:row>
    <x:row r="9">
      <x:c r="A9" s="59" t="n">
        <x:v>0.2</x:v>
      </x:c>
      <x:c r="B9" s="61" t="n">
        <x:f>((19277*(1+$A9))*B$4+-810)/1060.904</x:f>
        <x:v>86.45419378190674</x:v>
      </x:c>
      <x:c r="C9" s="61" t="n">
        <x:f>((19277*(1+$A9))*C$4+-810)/1060.904</x:f>
        <x:v>119.16082887801345</x:v>
      </x:c>
      <x:c r="D9" s="61" t="n">
        <x:f>((19277*(1+$A9))*D$4+-810)/1060.904</x:f>
        <x:v>151.86746397412017</x:v>
      </x:c>
      <x:c r="E9" s="61" t="n">
        <x:f>((19277*(1+$A9))*E$4+-810)/1060.904</x:f>
        <x:v>184.5740990702269</x:v>
      </x:c>
      <x:c r="F9" s="61" t="n">
        <x:f>((19277*(1+$A9))*F$4+-810)/1060.904</x:f>
        <x:v>217.2807341663336</x:v>
      </x:c>
    </x:row>
    <x:row r="12">
      <x:c r="A12" s="11" t="str">
        <x:v>Base 目标收入</x:v>
      </x:c>
      <x:c r="B12" s="62" t="n">
        <x:v>19277</x:v>
      </x:c>
    </x:row>
    <x:row r="13">
      <x:c r="A13" s="11" t="str">
        <x:v>净现金</x:v>
      </x:c>
      <x:c r="B13" s="62" t="n">
        <x:v>-810</x:v>
      </x:c>
    </x:row>
    <x:row r="14">
      <x:c r="A14" s="11" t="str">
        <x:v>目标股数</x:v>
      </x:c>
      <x:c r="B14" s="62" t="n">
        <x:v>1060.904</x:v>
      </x:c>
    </x:row>
    <x:row r="15">
      <x:c r="A15" s="11" t="str">
        <x:v>当前价</x:v>
      </x:c>
      <x:c r="B15" s="62" t="n">
        <x:v>110.62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</x:cols>
  <x:sheetData>
    <x:row r="1" ht="32" customHeight="1">
      <x:c r="A1" s="21" t="str">
        <x:v>GTLB 目标价敏感性</x:v>
      </x:c>
      <x:c r="B1" s="21"/>
      <x:c r="C1" s="21"/>
      <x:c r="D1" s="21"/>
      <x:c r="E1" s="21"/>
      <x:c r="F1" s="21"/>
      <x:c r="G1" s="21"/>
    </x:row>
    <x:row r="2" ht="24" customHeight="1">
      <x:c r="A2" s="24" t="str">
        <x:v>行=目标收入相对 Base；列=目标 EV/Sales。</x:v>
      </x:c>
      <x:c r="B2" s="24"/>
      <x:c r="C2" s="24"/>
      <x:c r="D2" s="24"/>
      <x:c r="E2" s="24"/>
      <x:c r="F2" s="24"/>
      <x:c r="G2" s="24"/>
    </x:row>
    <x:row r="4">
      <x:c r="A4" s="12" t="str">
        <x:v>收入 / 倍数</x:v>
      </x:c>
      <x:c r="B4" s="60" t="n">
        <x:v>3</x:v>
      </x:c>
      <x:c r="C4" s="60" t="n">
        <x:v>4.5</x:v>
      </x:c>
      <x:c r="D4" s="60" t="n">
        <x:v>5.5</x:v>
      </x:c>
      <x:c r="E4" s="60" t="n">
        <x:v>7</x:v>
      </x:c>
      <x:c r="F4" s="60" t="n">
        <x:v>8.5</x:v>
      </x:c>
    </x:row>
    <x:row r="5">
      <x:c r="A5" s="59" t="n">
        <x:v>-0.2</x:v>
      </x:c>
      <x:c r="B5" s="61" t="n">
        <x:f>((1348.843*(1+$A5))*B$4+1357.512)/173.364</x:f>
        <x:v>26.503398629473246</x:v>
      </x:c>
      <x:c r="C5" s="61" t="n">
        <x:f>((1348.843*(1+$A5))*C$4+1357.512)/173.364</x:f>
        <x:v>35.839890634733855</x:v>
      </x:c>
      <x:c r="D5" s="61" t="n">
        <x:f>((1348.843*(1+$A5))*D$4+1357.512)/173.364</x:f>
        <x:v>42.06421863824093</x:v>
      </x:c>
      <x:c r="E5" s="61" t="n">
        <x:f>((1348.843*(1+$A5))*E$4+1357.512)/173.364</x:f>
        <x:v>51.40071064350154</x:v>
      </x:c>
      <x:c r="F5" s="61" t="n">
        <x:f>((1348.843*(1+$A5))*F$4+1357.512)/173.364</x:f>
        <x:v>60.73720264876216</x:v>
      </x:c>
    </x:row>
    <x:row r="6">
      <x:c r="A6" s="59" t="n">
        <x:v>-0.1</x:v>
      </x:c>
      <x:c r="B6" s="61" t="n">
        <x:f>((1348.843*(1+$A6))*B$4+1357.512)/173.364</x:f>
        <x:v>28.837521630788398</x:v>
      </x:c>
      <x:c r="C6" s="61" t="n">
        <x:f>((1348.843*(1+$A6))*C$4+1357.512)/173.364</x:f>
        <x:v>39.34107513670658</x:v>
      </x:c>
      <x:c r="D6" s="61" t="n">
        <x:f>((1348.843*(1+$A6))*D$4+1357.512)/173.364</x:f>
        <x:v>46.34344414065204</x:v>
      </x:c>
      <x:c r="E6" s="61" t="n">
        <x:f>((1348.843*(1+$A6))*E$4+1357.512)/173.364</x:f>
        <x:v>56.84699764657024</x:v>
      </x:c>
      <x:c r="F6" s="61" t="n">
        <x:f>((1348.843*(1+$A6))*F$4+1357.512)/173.364</x:f>
        <x:v>67.3505511524884</x:v>
      </x:c>
    </x:row>
    <x:row r="7">
      <x:c r="A7" s="59" t="n">
        <x:v>0</x:v>
      </x:c>
      <x:c r="B7" s="61" t="n">
        <x:f>((1348.843*(1+$A7))*B$4+1357.512)/173.364</x:f>
        <x:v>31.17164463210355</x:v>
      </x:c>
      <x:c r="C7" s="61" t="n">
        <x:f>((1348.843*(1+$A7))*C$4+1357.512)/173.364</x:f>
        <x:v>42.84225963867931</x:v>
      </x:c>
      <x:c r="D7" s="61" t="n">
        <x:f>((1348.843*(1+$A7))*D$4+1357.512)/173.364</x:f>
        <x:v>50.622669643063155</x:v>
      </x:c>
      <x:c r="E7" s="61" t="n">
        <x:f>((1348.843*(1+$A7))*E$4+1357.512)/173.364</x:f>
        <x:v>62.29328464963891</x:v>
      </x:c>
      <x:c r="F7" s="61" t="n">
        <x:f>((1348.843*(1+$A7))*F$4+1357.512)/173.364</x:f>
        <x:v>73.96389965621468</x:v>
      </x:c>
    </x:row>
    <x:row r="8">
      <x:c r="A8" s="59" t="n">
        <x:v>0.1</x:v>
      </x:c>
      <x:c r="B8" s="61" t="n">
        <x:f>((1348.843*(1+$A8))*B$4+1357.512)/173.364</x:f>
        <x:v>33.50576763341871</x:v>
      </x:c>
      <x:c r="C8" s="61" t="n">
        <x:f>((1348.843*(1+$A8))*C$4+1357.512)/173.364</x:f>
        <x:v>46.34344414065204</x:v>
      </x:c>
      <x:c r="D8" s="61" t="n">
        <x:f>((1348.843*(1+$A8))*D$4+1357.512)/173.364</x:f>
        <x:v>54.90189514547428</x:v>
      </x:c>
      <x:c r="E8" s="61" t="n">
        <x:f>((1348.843*(1+$A8))*E$4+1357.512)/173.364</x:f>
        <x:v>67.73957165270761</x:v>
      </x:c>
      <x:c r="F8" s="61" t="n">
        <x:f>((1348.843*(1+$A8))*F$4+1357.512)/173.364</x:f>
        <x:v>80.57724815994094</x:v>
      </x:c>
    </x:row>
    <x:row r="9">
      <x:c r="A9" s="59" t="n">
        <x:v>0.2</x:v>
      </x:c>
      <x:c r="B9" s="61" t="n">
        <x:f>((1348.843*(1+$A9))*B$4+1357.512)/173.364</x:f>
        <x:v>35.83989063473385</x:v>
      </x:c>
      <x:c r="C9" s="61" t="n">
        <x:f>((1348.843*(1+$A9))*C$4+1357.512)/173.364</x:f>
        <x:v>49.84462864262476</x:v>
      </x:c>
      <x:c r="D9" s="61" t="n">
        <x:f>((1348.843*(1+$A9))*D$4+1357.512)/173.364</x:f>
        <x:v>59.18112064788537</x:v>
      </x:c>
      <x:c r="E9" s="61" t="n">
        <x:f>((1348.843*(1+$A9))*E$4+1357.512)/173.364</x:f>
        <x:v>73.18585865577629</x:v>
      </x:c>
      <x:c r="F9" s="61" t="n">
        <x:f>((1348.843*(1+$A9))*F$4+1357.512)/173.364</x:f>
        <x:v>87.1905966636672</x:v>
      </x:c>
    </x:row>
    <x:row r="12">
      <x:c r="A12" s="11" t="str">
        <x:v>Base 目标收入</x:v>
      </x:c>
      <x:c r="B12" s="62" t="n">
        <x:v>1348.843</x:v>
      </x:c>
    </x:row>
    <x:row r="13">
      <x:c r="A13" s="11" t="str">
        <x:v>净现金</x:v>
      </x:c>
      <x:c r="B13" s="62" t="n">
        <x:v>1357.512</x:v>
      </x:c>
    </x:row>
    <x:row r="14">
      <x:c r="A14" s="11" t="str">
        <x:v>目标股数</x:v>
      </x:c>
      <x:c r="B14" s="62" t="n">
        <x:v>173.364</x:v>
      </x:c>
    </x:row>
    <x:row r="15">
      <x:c r="A15" s="11" t="str">
        <x:v>当前价</x:v>
      </x:c>
      <x:c r="B15" s="62" t="n">
        <x:v>32.965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</x:cols>
  <x:sheetData>
    <x:row r="1" ht="32" customHeight="1">
      <x:c r="A1" s="21" t="str">
        <x:v>PATH 目标价敏感性</x:v>
      </x:c>
      <x:c r="B1" s="21"/>
      <x:c r="C1" s="21"/>
      <x:c r="D1" s="21"/>
      <x:c r="E1" s="21"/>
      <x:c r="F1" s="21"/>
      <x:c r="G1" s="21"/>
    </x:row>
    <x:row r="2" ht="24" customHeight="1">
      <x:c r="A2" s="24" t="str">
        <x:v>行=目标收入相对 Base；列=目标 EV/Sales。</x:v>
      </x:c>
      <x:c r="B2" s="24"/>
      <x:c r="C2" s="24"/>
      <x:c r="D2" s="24"/>
      <x:c r="E2" s="24"/>
      <x:c r="F2" s="24"/>
      <x:c r="G2" s="24"/>
    </x:row>
    <x:row r="4">
      <x:c r="A4" s="12" t="str">
        <x:v>收入 / 倍数</x:v>
      </x:c>
      <x:c r="B4" s="60" t="n">
        <x:v>1.5</x:v>
      </x:c>
      <x:c r="C4" s="60" t="n">
        <x:v>2.25</x:v>
      </x:c>
      <x:c r="D4" s="60" t="n">
        <x:v>3</x:v>
      </x:c>
      <x:c r="E4" s="60" t="n">
        <x:v>4</x:v>
      </x:c>
      <x:c r="F4" s="60" t="n">
        <x:v>5</x:v>
      </x:c>
    </x:row>
    <x:row r="5">
      <x:c r="A5" s="59" t="n">
        <x:v>-0.2</x:v>
      </x:c>
      <x:c r="B5" s="61" t="n">
        <x:f>((1955.879*(1+$A5))*B$4+1415.746)/517.314</x:f>
        <x:v>7.273726982065052</x:v>
      </x:c>
      <x:c r="C5" s="61" t="n">
        <x:f>((1955.879*(1+$A5))*C$4+1415.746)/517.314</x:f>
        <x:v>9.542228124504653</x:v>
      </x:c>
      <x:c r="D5" s="61" t="n">
        <x:f>((1955.879*(1+$A5))*D$4+1415.746)/517.314</x:f>
        <x:v>11.810729266944255</x:v>
      </x:c>
      <x:c r="E5" s="61" t="n">
        <x:f>((1955.879*(1+$A5))*E$4+1415.746)/517.314</x:f>
        <x:v>14.835397456863724</x:v>
      </x:c>
      <x:c r="F5" s="61" t="n">
        <x:f>((1955.879*(1+$A5))*F$4+1415.746)/517.314</x:f>
        <x:v>17.86006564678319</x:v>
      </x:c>
    </x:row>
    <x:row r="6">
      <x:c r="A6" s="59" t="n">
        <x:v>-0.1</x:v>
      </x:c>
      <x:c r="B6" s="61" t="n">
        <x:f>((1955.879*(1+$A6))*B$4+1415.746)/517.314</x:f>
        <x:v>7.8408522676749515</x:v>
      </x:c>
      <x:c r="C6" s="61" t="n">
        <x:f>((1955.879*(1+$A6))*C$4+1415.746)/517.314</x:f>
        <x:v>10.392916052919505</x:v>
      </x:c>
      <x:c r="D6" s="61" t="n">
        <x:f>((1955.879*(1+$A6))*D$4+1415.746)/517.314</x:f>
        <x:v>12.944979838164056</x:v>
      </x:c>
      <x:c r="E6" s="61" t="n">
        <x:f>((1955.879*(1+$A6))*E$4+1415.746)/517.314</x:f>
        <x:v>16.34773155182346</x:v>
      </x:c>
      <x:c r="F6" s="61" t="n">
        <x:f>((1955.879*(1+$A6))*F$4+1415.746)/517.314</x:f>
        <x:v>19.75048326548286</x:v>
      </x:c>
    </x:row>
    <x:row r="7">
      <x:c r="A7" s="59" t="n">
        <x:v>0</x:v>
      </x:c>
      <x:c r="B7" s="61" t="n">
        <x:f>((1955.879*(1+$A7))*B$4+1415.746)/517.314</x:f>
        <x:v>8.407977553284853</x:v>
      </x:c>
      <x:c r="C7" s="61" t="n">
        <x:f>((1955.879*(1+$A7))*C$4+1415.746)/517.314</x:f>
        <x:v>11.243603981334354</x:v>
      </x:c>
      <x:c r="D7" s="61" t="n">
        <x:f>((1955.879*(1+$A7))*D$4+1415.746)/517.314</x:f>
        <x:v>14.079230409383856</x:v>
      </x:c>
      <x:c r="E7" s="61" t="n">
        <x:f>((1955.879*(1+$A7))*E$4+1415.746)/517.314</x:f>
        <x:v>17.86006564678319</x:v>
      </x:c>
      <x:c r="F7" s="61" t="n">
        <x:f>((1955.879*(1+$A7))*F$4+1415.746)/517.314</x:f>
        <x:v>21.64090088418253</x:v>
      </x:c>
    </x:row>
    <x:row r="8">
      <x:c r="A8" s="59" t="n">
        <x:v>0.1</x:v>
      </x:c>
      <x:c r="B8" s="61" t="n">
        <x:f>((1955.879*(1+$A8))*B$4+1415.746)/517.314</x:f>
        <x:v>8.975102838894754</x:v>
      </x:c>
      <x:c r="C8" s="61" t="n">
        <x:f>((1955.879*(1+$A8))*C$4+1415.746)/517.314</x:f>
        <x:v>12.094291909749204</x:v>
      </x:c>
      <x:c r="D8" s="61" t="n">
        <x:f>((1955.879*(1+$A8))*D$4+1415.746)/517.314</x:f>
        <x:v>15.213480980603657</x:v>
      </x:c>
      <x:c r="E8" s="61" t="n">
        <x:f>((1955.879*(1+$A8))*E$4+1415.746)/517.314</x:f>
        <x:v>19.372399741742928</x:v>
      </x:c>
      <x:c r="F8" s="61" t="n">
        <x:f>((1955.879*(1+$A8))*F$4+1415.746)/517.314</x:f>
        <x:v>23.531318502882197</x:v>
      </x:c>
    </x:row>
    <x:row r="9">
      <x:c r="A9" s="59" t="n">
        <x:v>0.2</x:v>
      </x:c>
      <x:c r="B9" s="61" t="n">
        <x:f>((1955.879*(1+$A9))*B$4+1415.746)/517.314</x:f>
        <x:v>9.542228124504653</x:v>
      </x:c>
      <x:c r="C9" s="61" t="n">
        <x:f>((1955.879*(1+$A9))*C$4+1415.746)/517.314</x:f>
        <x:v>12.944979838164056</x:v>
      </x:c>
      <x:c r="D9" s="61" t="n">
        <x:f>((1955.879*(1+$A9))*D$4+1415.746)/517.314</x:f>
        <x:v>16.34773155182346</x:v>
      </x:c>
      <x:c r="E9" s="61" t="n">
        <x:f>((1955.879*(1+$A9))*E$4+1415.746)/517.314</x:f>
        <x:v>20.884733836702658</x:v>
      </x:c>
      <x:c r="F9" s="61" t="n">
        <x:f>((1955.879*(1+$A9))*F$4+1415.746)/517.314</x:f>
        <x:v>25.421736121581866</x:v>
      </x:c>
    </x:row>
    <x:row r="12">
      <x:c r="A12" s="11" t="str">
        <x:v>Base 目标收入</x:v>
      </x:c>
      <x:c r="B12" s="62" t="n">
        <x:v>1955.879</x:v>
      </x:c>
    </x:row>
    <x:row r="13">
      <x:c r="A13" s="11" t="str">
        <x:v>净现金</x:v>
      </x:c>
      <x:c r="B13" s="62" t="n">
        <x:v>1415.746</x:v>
      </x:c>
    </x:row>
    <x:row r="14">
      <x:c r="A14" s="11" t="str">
        <x:v>目标股数</x:v>
      </x:c>
      <x:c r="B14" s="62" t="n">
        <x:v>517.314</x:v>
      </x:c>
    </x:row>
    <x:row r="15">
      <x:c r="A15" s="11" t="str">
        <x:v>当前价</x:v>
      </x:c>
      <x:c r="B15" s="62" t="n">
        <x:v>12.19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1" t="str">
        <x:v>估值检查</x:v>
      </x:c>
      <x:c r="B1" s="21"/>
      <x:c r="C1" s="21"/>
      <x:c r="D1" s="21"/>
      <x:c r="E1" s="21"/>
      <x:c r="F1" s="21"/>
    </x:row>
    <x:row r="2" ht="24" customHeight="1">
      <x:c r="A2" s="24" t="str">
        <x:v>估值桥偏差应为零。</x:v>
      </x:c>
      <x:c r="B2" s="24"/>
      <x:c r="C2" s="24"/>
      <x:c r="D2" s="24"/>
      <x:c r="E2" s="24"/>
      <x:c r="F2" s="24"/>
    </x:row>
    <x:row r="4">
      <x:c r="A4" s="11" t="str">
        <x:v>检查项</x:v>
      </x:c>
      <x:c r="B4" s="11" t="str">
        <x:v>结果</x:v>
      </x:c>
    </x:row>
    <x:row r="5">
      <x:c r="A5" t="str">
        <x:v>估值行数</x:v>
      </x:c>
      <x:c r="B5" s="56" t="n">
        <x:f>COUNTA('估值'!A5:A13)</x:f>
        <x:v>9</x:v>
      </x:c>
    </x:row>
    <x:row r="6">
      <x:c r="A6" t="str">
        <x:v>EV桥最大偏差</x:v>
      </x:c>
      <x:c r="B6" s="63" t="n">
        <x:f>MAX(MAX('估值'!M5:M13),-MIN('估值'!M5:M13))</x:f>
        <x:v>0</x:v>
      </x:c>
    </x:row>
    <x:row r="7">
      <x:c r="A7" t="str">
        <x:v>股权价值桥最大偏差</x:v>
      </x:c>
      <x:c r="B7" s="63" t="n">
        <x:f>MAX(MAX('估值'!N5:N13),-MIN('估值'!N5:N13))</x:f>
        <x:v>0</x:v>
      </x:c>
    </x:row>
    <x:row r="8">
      <x:c r="A8" t="str">
        <x:v>目标价桥最大偏差</x:v>
      </x:c>
      <x:c r="B8" s="63" t="n">
        <x:f>MAX(MAX('估值'!O5:O13),-MIN('估值'!O5:O13))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