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0ba5ebca7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1d3e649c80b34dae"/>
    <x:sheet xmlns:r="http://schemas.openxmlformats.org/officeDocument/2006/relationships" name="权重" sheetId="2" r:id="R97d71d97b5c44f7c"/>
    <x:sheet xmlns:r="http://schemas.openxmlformats.org/officeDocument/2006/relationships" name="评分" sheetId="3" r:id="Rba332789f6f447c9"/>
    <x:sheet xmlns:r="http://schemas.openxmlformats.org/officeDocument/2006/relationships" name="商业化证据" sheetId="4" r:id="R8b41fd3d65bd401a"/>
    <x:sheet xmlns:r="http://schemas.openxmlformats.org/officeDocument/2006/relationships" name="检查" sheetId="5" r:id="R5133f3d16971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%"/>
    <x:numFmt numFmtId="202" formatCode="0.0"/>
    <x:numFmt numFmtId="203" formatCode="0.000"/>
  </x:numFmts>
  <x:fonts count="13">
    <x:font>
      <x:sz val="11"/>
      <x:name val="Carlito"/>
    </x:font>
    <x:font>
      <x:b/>
      <x:sz val="24"/>
      <x:color rgb="FFFFFFFF"/>
      <x:name val="Carlito"/>
    </x:font>
    <x:font>
      <x:b/>
      <x:sz val="12"/>
      <x:color rgb="FF203A5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203A5F"/>
      <x:name val="Carlito"/>
    </x:font>
    <x:font>
      <x:b/>
      <x:sz val="18"/>
      <x:color rgb="FFFFFFFF"/>
      <x:name val="Carlito"/>
    </x:font>
    <x:font>
      <x:i/>
      <x:sz val="10"/>
      <x:color rgb="FF5E6B78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sz val="9"/>
      <x:color rgb="FF2F6BFF"/>
      <x:name val="Carlito"/>
    </x:font>
    <x:font>
      <x:sz val="11"/>
      <x:color rgb="FF1B9E77"/>
      <x:name val="Carlito"/>
    </x:font>
    <x:font>
      <x:sz val="9"/>
      <x:color rgb="FF1B9E7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1FF"/>
      </x:patternFill>
    </x:fill>
    <x:fill>
      <x:patternFill patternType="solid">
        <x:fgColor rgb="FF203A5F"/>
      </x:patternFill>
    </x:fill>
    <x:fill>
      <x:patternFill patternType="solid">
        <x:fgColor rgb="FFEEF3F8"/>
      </x:patternFill>
    </x:fill>
    <x:fill>
      <x:patternFill patternType="solid">
        <x:fgColor rgb="FFE9F6F1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vertical="center" wrapText="0"/>
    </x:xf>
    <x:xf numFmtId="0" fontId="9" fillId="5" borderId="1" xfId="0" applyNumberFormat="1" applyFont="1" applyFill="1" applyBorder="1" applyAlignment="1">
      <x:alignment vertical="center" wrapText="0"/>
    </x:xf>
    <x:xf numFmtId="200" fontId="9" fillId="5" borderId="1" xfId="0" applyNumberFormat="1" applyFont="1" applyFill="1" applyBorder="1" applyAlignment="1">
      <x:alignment vertical="center" wrapText="0"/>
    </x:xf>
    <x:xf numFmtId="200" fontId="9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0" fontId="9" fillId="3" borderId="1" xfId="0" applyNumberFormat="1" applyFont="1" applyFill="1" applyBorder="1" applyAlignment="1">
      <x:alignment vertical="center" wrapText="0"/>
    </x:xf>
    <x:xf numFmtId="200" fontId="10" fillId="3" borderId="1" xfId="0" applyNumberFormat="1" applyFont="1" applyFill="1" applyBorder="1" applyAlignment="1">
      <x:alignment vertical="center" wrapText="0"/>
    </x:xf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11" fillId="6" borderId="0" xfId="0" applyNumberFormat="1" applyFont="1" applyFill="1" applyBorder="1"/>
    <x:xf numFmtId="0" fontId="11" fillId="6" borderId="0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2" fontId="9" fillId="5" borderId="1" xfId="0" applyNumberFormat="1" applyFont="1" applyFill="1" applyBorder="1" applyAlignment="1">
      <x:alignment vertical="center" wrapText="1"/>
    </x:xf>
    <x:xf numFmtId="202" fontId="9" fillId="0" borderId="1" xfId="0" applyNumberFormat="1" applyFont="1" applyFill="1" applyBorder="1" applyAlignment="1">
      <x:alignment vertical="center" wrapText="1"/>
    </x:xf>
    <x:xf numFmtId="202" fontId="9" fillId="3" borderId="1" xfId="0" applyNumberFormat="1" applyFont="1" applyFill="1" applyBorder="1" applyAlignment="1">
      <x:alignment vertical="center" wrapText="1"/>
    </x:xf>
    <x:xf numFmtId="202" fontId="10" fillId="3" borderId="1" xfId="0" applyNumberFormat="1" applyFont="1" applyFill="1" applyBorder="1" applyAlignment="1">
      <x:alignment vertical="center" wrapText="1"/>
    </x:xf>
    <x:xf numFmtId="202" fontId="9" fillId="6" borderId="1" xfId="0" applyNumberFormat="1" applyFont="1" applyFill="1" applyBorder="1" applyAlignment="1">
      <x:alignment vertical="center" wrapText="1"/>
    </x:xf>
    <x:xf numFmtId="202" fontId="12" fillId="6" borderId="1" xfId="0" applyNumberFormat="1" applyFont="1" applyFill="1" applyBorder="1" applyAlignment="1">
      <x:alignment vertical="center" wrapText="1"/>
    </x:xf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8262f62e240d3" /><Relationship Type="http://schemas.openxmlformats.org/officeDocument/2006/relationships/theme" Target="/xl/theme/theme1.xml" Id="Rcd79682a1fa4427b" /><Relationship Type="http://schemas.openxmlformats.org/officeDocument/2006/relationships/sharedStrings" Target="/xl/sharedStrings.xml" Id="R67eaed92463a4ab0" /><Relationship Type="http://schemas.openxmlformats.org/officeDocument/2006/relationships/worksheet" Target="/xl/worksheets/sheet1.xml" Id="R1d3e649c80b34dae" /><Relationship Type="http://schemas.openxmlformats.org/officeDocument/2006/relationships/worksheet" Target="/xl/worksheets/sheet2.xml" Id="R97d71d97b5c44f7c" /><Relationship Type="http://schemas.openxmlformats.org/officeDocument/2006/relationships/worksheet" Target="/xl/worksheets/sheet3.xml" Id="Rba332789f6f447c9" /><Relationship Type="http://schemas.openxmlformats.org/officeDocument/2006/relationships/worksheet" Target="/xl/worksheets/sheet4.xml" Id="R8b41fd3d65bd401a" /><Relationship Type="http://schemas.openxmlformats.org/officeDocument/2006/relationships/worksheet" Target="/xl/worksheets/sheet5.xml" Id="R5133f3d16971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Agent Value Capture Score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5" ht="34" customHeight="1">
      <x:c r="A5" s="9" t="str">
        <x:v>代理型 AI 价值捕获的结构化评分，不等同于目标价或绝对评级。</x:v>
      </x:c>
      <x:c r="B5" s="9"/>
      <x:c r="C5" s="9"/>
      <x:c r="D5" s="9"/>
      <x:c r="E5" s="9"/>
      <x:c r="F5" s="9"/>
      <x:c r="G5" s="9"/>
      <x:c r="H5" s="9"/>
    </x:row>
    <x:row r="7" ht="28" customHeight="1">
      <x:c r="A7" s="12" t="str">
        <x:v>研究截止日</x:v>
      </x:c>
      <x:c r="B7" s="16" t="str">
        <x:v>2026-07-29</x:v>
      </x:c>
    </x:row>
    <x:row r="8" ht="28" customHeight="1">
      <x:c r="A8" s="12" t="str">
        <x:v>市场价日期</x:v>
      </x:c>
      <x:c r="B8" s="16" t="str">
        <x:v>2026-07-28 收盘</x:v>
      </x:c>
    </x:row>
    <x:row r="9" ht="28" customHeight="1">
      <x:c r="A9" s="12" t="str">
        <x:v>单位</x:v>
      </x:c>
      <x:c r="B9" s="16" t="str">
        <x:v>除特别说明外：USD mm / 每股 USD</x:v>
      </x:c>
    </x:row>
    <x:row r="10" ht="28" customHeight="1">
      <x:c r="A10" s="12" t="str">
        <x:v>颜色规则</x:v>
      </x:c>
      <x:c r="B10" s="16" t="str">
        <x:v>蓝色=外部/管理层输入；绿色=公式；灰色=作者假设</x:v>
      </x:c>
    </x:row>
    <x:row r="11" ht="28" customHeight="1">
      <x:c r="A11" s="12" t="str">
        <x:v>免责声明</x:v>
      </x:c>
      <x:c r="B11" s="16" t="str">
        <x:v>研究演示，不构成投资建议。预测与倍数均为作者假设。</x:v>
      </x:c>
    </x:row>
    <x:row r="12" ht="28" customHeight="1"/>
    <x:row r="13" ht="28" customHeight="1">
      <x:c r="A13" s="11" t="str">
        <x:v>工作表说明</x:v>
      </x:c>
      <x:c r="B13" s="11"/>
      <x:c r="C13" s="11"/>
      <x:c r="D13" s="11"/>
      <x:c r="E13" s="11"/>
      <x:c r="F13" s="11"/>
      <x:c r="G13" s="11"/>
      <x:c r="H13" s="11"/>
    </x:row>
    <x:row r="14" ht="28" customHeight="1">
      <x:c r="A14" s="18" t="str">
        <x:v>权重</x:v>
      </x:c>
      <x:c r="B14" s="19" t="str">
        <x:v>七维因子与权重；所有权重可调整。</x:v>
      </x:c>
    </x:row>
    <x:row r="15" ht="28" customHeight="1">
      <x:c r="A15" s="18" t="str">
        <x:v>评分</x:v>
      </x:c>
      <x:c r="B15" s="19" t="str">
        <x:v>16 家公司 1–5 分输入、模型复算及一致性检查。</x:v>
      </x:c>
    </x:row>
    <x:row r="16" ht="28" customHeight="1">
      <x:c r="A16" s="18" t="str">
        <x:v>商业化证据</x:v>
      </x:c>
      <x:c r="B16" s="19" t="str">
        <x:v>价格形态、分开披露、当前证据与局限。</x:v>
      </x:c>
    </x:row>
    <x:row r="17" ht="28" customHeight="1">
      <x:c r="A17" s="18" t="str">
        <x:v>检查</x:v>
      </x:c>
      <x:c r="B17" s="19" t="str">
        <x:v>权重合计、复算偏差和缺失值。</x:v>
      </x:c>
    </x:row>
    <x:row r="18" ht="28" customHeight="1"/>
    <x:row r="19" ht="28" customHeight="1"/>
    <x:row r="20" ht="28" customHeight="1"/>
  </x:sheetData>
  <x:mergeCells>
    <x:mergeCell ref="A1:H3"/>
    <x:mergeCell ref="A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21" t="str">
        <x:v>权重</x:v>
      </x:c>
      <x:c r="B1" s="21"/>
      <x:c r="C1" s="21"/>
      <x:c r="D1" s="21"/>
      <x:c r="E1" s="21"/>
      <x:c r="F1" s="21"/>
    </x:row>
    <x:row r="2" ht="24" customHeight="1">
      <x:c r="A2" s="24" t="str">
        <x:v>作者框架；蓝色为可编辑输入。</x:v>
      </x:c>
      <x:c r="B2" s="24"/>
      <x:c r="C2" s="24"/>
      <x:c r="D2" s="24"/>
      <x:c r="E2" s="24"/>
      <x:c r="F2" s="24"/>
    </x:row>
    <x:row r="4" ht="30" customHeight="1">
      <x:c r="A4" s="28" t="str">
        <x:v>因子</x:v>
      </x:c>
      <x:c r="B4" s="28" t="str">
        <x:v>权重</x:v>
      </x:c>
      <x:c r="C4" s="28" t="str">
        <x:v>定义</x:v>
      </x:c>
    </x:row>
    <x:row r="5">
      <x:c r="A5" s="33" t="str">
        <x:v>专有数据/上下文</x:v>
      </x:c>
      <x:c r="B5" s="38" t="n">
        <x:v>0.15</x:v>
      </x:c>
      <x:c r="C5" s="33" t="str">
        <x:v>系统记录与业务上下文</x:v>
      </x:c>
    </x:row>
    <x:row r="6">
      <x:c r="A6" s="32" t="str">
        <x:v>执行能力</x:v>
      </x:c>
      <x:c r="B6" s="38" t="n">
        <x:v>0.15</x:v>
      </x:c>
      <x:c r="C6" s="32" t="str">
        <x:v>可真正写入/调用/编排工作流</x:v>
      </x:c>
    </x:row>
    <x:row r="7">
      <x:c r="A7" s="33" t="str">
        <x:v>分发</x:v>
      </x:c>
      <x:c r="B7" s="38" t="n">
        <x:v>0.15</x:v>
      </x:c>
      <x:c r="C7" s="33" t="str">
        <x:v>既有客户、入口与渠道</x:v>
      </x:c>
    </x:row>
    <x:row r="8">
      <x:c r="A8" s="32" t="str">
        <x:v>身份/安全/治理</x:v>
      </x:c>
      <x:c r="B8" s="38" t="n">
        <x:v>0.1</x:v>
      </x:c>
      <x:c r="C8" s="32" t="str">
        <x:v>权限、审计与非抵赖</x:v>
      </x:c>
    </x:row>
    <x:row r="9">
      <x:c r="A9" s="33" t="str">
        <x:v>AI 商业化</x:v>
      </x:c>
      <x:c r="B9" s="38" t="n">
        <x:v>0.2</x:v>
      </x:c>
      <x:c r="C9" s="33" t="str">
        <x:v>价格、附着、用量或可验证收入</x:v>
      </x:c>
    </x:row>
    <x:row r="10">
      <x:c r="A10" s="32" t="str">
        <x:v>财务质量</x:v>
      </x:c>
      <x:c r="B10" s="38" t="n">
        <x:v>0.1</x:v>
      </x:c>
      <x:c r="C10" s="32" t="str">
        <x:v>增长、利润、现金流与稀释</x:v>
      </x:c>
    </x:row>
    <x:row r="11">
      <x:c r="A11" s="33" t="str">
        <x:v>估值</x:v>
      </x:c>
      <x:c r="B11" s="38" t="n">
        <x:v>0.15</x:v>
      </x:c>
      <x:c r="C11" s="33" t="str">
        <x:v>相对预期与风险回报</x:v>
      </x:c>
    </x:row>
    <x:row r="13">
      <x:c r="A13" t="str">
        <x:v>权重合计</x:v>
      </x:c>
      <x:c r="B13" s="41" t="n">
        <x:f>SUM(B5:B11)</x:f>
        <x:v>1</x:v>
      </x:c>
      <x:c r="C13" s="42" t="str">
        <x:f>IF(ABS(B13-1)&lt;0.0001,"OK","ERROR")</x:f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0" hidden="0" customWidth="1"/>
    <x:col min="16" max="16" width="70" hidden="0" customWidth="1"/>
  </x:cols>
  <x:sheetData>
    <x:row r="1" ht="32" customHeight="1">
      <x:c r="A1" s="21" t="str">
        <x:v>公司评分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</x:row>
    <x:row r="2" ht="24" customHeight="1">
      <x:c r="A2" s="24" t="str">
        <x:v>1=弱，5=强；总分=七维评分的加权和÷5×100。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</x:row>
    <x:row r="4" ht="30" customHeight="1">
      <x:c r="A4" s="28" t="str">
        <x:v>Ticker</x:v>
      </x:c>
      <x:c r="B4" s="28" t="str">
        <x:v>公司</x:v>
      </x:c>
      <x:c r="C4" s="28" t="str">
        <x:v>类别</x:v>
      </x:c>
      <x:c r="D4" s="28" t="str">
        <x:v>观点</x:v>
      </x:c>
      <x:c r="E4" s="28" t="str">
        <x:v>置信度</x:v>
      </x:c>
      <x:c r="F4" s="28" t="str">
        <x:v>数据/上下文</x:v>
      </x:c>
      <x:c r="G4" s="28" t="str">
        <x:v>执行</x:v>
      </x:c>
      <x:c r="H4" s="28" t="str">
        <x:v>分发</x:v>
      </x:c>
      <x:c r="I4" s="28" t="str">
        <x:v>身份/治理</x:v>
      </x:c>
      <x:c r="J4" s="28" t="str">
        <x:v>商业化</x:v>
      </x:c>
      <x:c r="K4" s="28" t="str">
        <x:v>财务质量</x:v>
      </x:c>
      <x:c r="L4" s="28" t="str">
        <x:v>估值</x:v>
      </x:c>
      <x:c r="M4" s="28" t="str">
        <x:v>模型复算</x:v>
      </x:c>
      <x:c r="N4" s="28" t="str">
        <x:v>已发布分数</x:v>
      </x:c>
      <x:c r="O4" s="28" t="str">
        <x:v>偏差</x:v>
      </x:c>
      <x:c r="P4" s="28" t="str">
        <x:v>核心理由</x:v>
      </x:c>
    </x:row>
    <x:row r="5">
      <x:c r="A5" s="45" t="str">
        <x:v>MSFT</x:v>
      </x:c>
      <x:c r="B5" s="45" t="str">
        <x:v>Microsoft</x:v>
      </x:c>
      <x:c r="C5" s="45" t="str">
        <x:v>Structural winners</x:v>
      </x:c>
      <x:c r="D5" s="45" t="str">
        <x:v>Overweight benchmark</x:v>
      </x:c>
      <x:c r="E5" s="45" t="str">
        <x:v>High</x:v>
      </x:c>
      <x:c r="F5" s="49" t="n">
        <x:v>5</x:v>
      </x:c>
      <x:c r="G5" s="49" t="n">
        <x:v>5</x:v>
      </x:c>
      <x:c r="H5" s="49" t="n">
        <x:v>5</x:v>
      </x:c>
      <x:c r="I5" s="49" t="n">
        <x:v>5</x:v>
      </x:c>
      <x:c r="J5" s="49" t="n">
        <x:v>5</x:v>
      </x:c>
      <x:c r="K5" s="49" t="n">
        <x:v>5</x:v>
      </x:c>
      <x:c r="L5" s="49" t="n">
        <x:v>2</x:v>
      </x:c>
      <x:c r="M5" s="51" t="n">
        <x:f>(F5*'权重'!$B$5+G5*'权重'!$B$6+H5*'权重'!$B$7+I5*'权重'!$B$8+J5*'权重'!$B$9+K5*'权重'!$B$10+L5*'权重'!$B$11)/5*100</x:f>
        <x:v>90.99999999999999</x:v>
      </x:c>
      <x:c r="N5" s="49" t="n">
        <x:v>91</x:v>
      </x:c>
      <x:c r="O5" s="51" t="n">
        <x:f>M5-N5</x:f>
        <x:v>-1.4210854715202004e-14</x:v>
      </x:c>
      <x:c r="P5" s="45" t="str">
        <x:v>Full-stack model/cloud/identity/distribution plus disclosed AI revenue and paid Copilot seats; valuation embeds substantial success.</x:v>
      </x:c>
    </x:row>
    <x:row r="6">
      <x:c r="A6" s="44" t="str">
        <x:v>NOW</x:v>
      </x:c>
      <x:c r="B6" s="44" t="str">
        <x:v>ServiceNow</x:v>
      </x:c>
      <x:c r="C6" s="44" t="str">
        <x:v>Structural winners</x:v>
      </x:c>
      <x:c r="D6" s="44" t="str">
        <x:v>Selective Long</x:v>
      </x:c>
      <x:c r="E6" s="44" t="str">
        <x:v>High</x:v>
      </x:c>
      <x:c r="F6" s="49" t="n">
        <x:v>5</x:v>
      </x:c>
      <x:c r="G6" s="49" t="n">
        <x:v>5</x:v>
      </x:c>
      <x:c r="H6" s="49" t="n">
        <x:v>5</x:v>
      </x:c>
      <x:c r="I6" s="49" t="n">
        <x:v>4</x:v>
      </x:c>
      <x:c r="J6" s="49" t="n">
        <x:v>5</x:v>
      </x:c>
      <x:c r="K6" s="49" t="n">
        <x:v>5</x:v>
      </x:c>
      <x:c r="L6" s="49" t="n">
        <x:v>2</x:v>
      </x:c>
      <x:c r="M6" s="51" t="n">
        <x:f>(F6*'权重'!$B$5+G6*'权重'!$B$6+H6*'权重'!$B$7+I6*'权重'!$B$8+J6*'权重'!$B$9+K6*'权重'!$B$10+L6*'权重'!$B$11)/5*100</x:f>
        <x:v>89</x:v>
      </x:c>
      <x:c r="N6" s="49" t="n">
        <x:v>89</x:v>
      </x:c>
      <x:c r="O6" s="51" t="n">
        <x:f>M6-N6</x:f>
        <x:v>0</x:v>
      </x:c>
      <x:c r="P6" s="44" t="str">
        <x:v>Owns workflow context and execution rights; AI ACV crossed $1bn, but acquisition debt and margin dilution require valuation discipline.</x:v>
      </x:c>
    </x:row>
    <x:row r="7">
      <x:c r="A7" s="45" t="str">
        <x:v>CRM</x:v>
      </x:c>
      <x:c r="B7" s="45" t="str">
        <x:v>Salesforce</x:v>
      </x:c>
      <x:c r="C7" s="45" t="str">
        <x:v>Structural winners</x:v>
      </x:c>
      <x:c r="D7" s="45" t="str">
        <x:v>Neutral / positive bias</x:v>
      </x:c>
      <x:c r="E7" s="45" t="str">
        <x:v>Medium</x:v>
      </x:c>
      <x:c r="F7" s="49" t="n">
        <x:v>5</x:v>
      </x:c>
      <x:c r="G7" s="49" t="n">
        <x:v>5</x:v>
      </x:c>
      <x:c r="H7" s="49" t="n">
        <x:v>5</x:v>
      </x:c>
      <x:c r="I7" s="49" t="n">
        <x:v>4</x:v>
      </x:c>
      <x:c r="J7" s="49" t="n">
        <x:v>4</x:v>
      </x:c>
      <x:c r="K7" s="49" t="n">
        <x:v>4</x:v>
      </x:c>
      <x:c r="L7" s="49" t="n">
        <x:v>3</x:v>
      </x:c>
      <x:c r="M7" s="51" t="n">
        <x:f>(F7*'权重'!$B$5+G7*'权重'!$B$6+H7*'权重'!$B$7+I7*'权重'!$B$8+J7*'权重'!$B$9+K7*'权重'!$B$10+L7*'权重'!$B$11)/5*100</x:f>
        <x:v>86</x:v>
      </x:c>
      <x:c r="N7" s="49" t="n">
        <x:v>86</x:v>
      </x:c>
      <x:c r="O7" s="51" t="n">
        <x:f>M7-N7</x:f>
        <x:v>0</x:v>
      </x:c>
      <x:c r="P7" s="45" t="str">
        <x:v>Deep customer data and distribution support agents; evidence must distinguish Agentforce consumption from bundled platform revenue.</x:v>
      </x:c>
    </x:row>
    <x:row r="8">
      <x:c r="A8" s="44" t="str">
        <x:v>SAP</x:v>
      </x:c>
      <x:c r="B8" s="44" t="str">
        <x:v>SAP</x:v>
      </x:c>
      <x:c r="C8" s="44" t="str">
        <x:v>Selective beneficiaries</x:v>
      </x:c>
      <x:c r="D8" s="44" t="str">
        <x:v>Neutral</x:v>
      </x:c>
      <x:c r="E8" s="44" t="str">
        <x:v>Medium</x:v>
      </x:c>
      <x:c r="F8" s="49" t="n">
        <x:v>5</x:v>
      </x:c>
      <x:c r="G8" s="49" t="n">
        <x:v>4</x:v>
      </x:c>
      <x:c r="H8" s="49" t="n">
        <x:v>5</x:v>
      </x:c>
      <x:c r="I8" s="49" t="n">
        <x:v>4</x:v>
      </x:c>
      <x:c r="J8" s="49" t="n">
        <x:v>3</x:v>
      </x:c>
      <x:c r="K8" s="49" t="n">
        <x:v>4</x:v>
      </x:c>
      <x:c r="L8" s="49" t="n">
        <x:v>3</x:v>
      </x:c>
      <x:c r="M8" s="51" t="n">
        <x:f>(F8*'权重'!$B$5+G8*'权重'!$B$6+H8*'权重'!$B$7+I8*'权重'!$B$8+J8*'权重'!$B$9+K8*'权重'!$B$10+L8*'权重'!$B$11)/5*100</x:f>
        <x:v>79</x:v>
      </x:c>
      <x:c r="N8" s="49" t="n">
        <x:v>79</x:v>
      </x:c>
      <x:c r="O8" s="51" t="n">
        <x:f>M8-N8</x:f>
        <x:v>0</x:v>
      </x:c>
      <x:c r="P8" s="44" t="str">
        <x:v>Mission-critical data and transaction rights are strong; AI monetization disclosure is less separable.</x:v>
      </x:c>
    </x:row>
    <x:row r="9">
      <x:c r="A9" s="45" t="str">
        <x:v>ORCL</x:v>
      </x:c>
      <x:c r="B9" s="45" t="str">
        <x:v>Oracle</x:v>
      </x:c>
      <x:c r="C9" s="45" t="str">
        <x:v>Structural winners</x:v>
      </x:c>
      <x:c r="D9" s="45" t="str">
        <x:v>Neutral / positive bias</x:v>
      </x:c>
      <x:c r="E9" s="45" t="str">
        <x:v>Medium</x:v>
      </x:c>
      <x:c r="F9" s="49" t="n">
        <x:v>5</x:v>
      </x:c>
      <x:c r="G9" s="49" t="n">
        <x:v>5</x:v>
      </x:c>
      <x:c r="H9" s="49" t="n">
        <x:v>5</x:v>
      </x:c>
      <x:c r="I9" s="49" t="n">
        <x:v>4</x:v>
      </x:c>
      <x:c r="J9" s="49" t="n">
        <x:v>4</x:v>
      </x:c>
      <x:c r="K9" s="49" t="n">
        <x:v>4</x:v>
      </x:c>
      <x:c r="L9" s="49" t="n">
        <x:v>3</x:v>
      </x:c>
      <x:c r="M9" s="51" t="n">
        <x:f>(F9*'权重'!$B$5+G9*'权重'!$B$6+H9*'权重'!$B$7+I9*'权重'!$B$8+J9*'权重'!$B$9+K9*'权重'!$B$10+L9*'权重'!$B$11)/5*100</x:f>
        <x:v>86</x:v>
      </x:c>
      <x:c r="N9" s="49" t="n">
        <x:v>86</x:v>
      </x:c>
      <x:c r="O9" s="51" t="n">
        <x:f>M9-N9</x:f>
        <x:v>0</x:v>
      </x:c>
      <x:c r="P9" s="45" t="str">
        <x:v>Database, applications and OCI provide context plus execution; capital intensity and valuation constrain risk/reward.</x:v>
      </x:c>
    </x:row>
    <x:row r="10">
      <x:c r="A10" s="44" t="str">
        <x:v>TEAM</x:v>
      </x:c>
      <x:c r="B10" s="44" t="str">
        <x:v>Atlassian</x:v>
      </x:c>
      <x:c r="C10" s="44" t="str">
        <x:v>Selective beneficiaries</x:v>
      </x:c>
      <x:c r="D10" s="44" t="str">
        <x:v>Neutral</x:v>
      </x:c>
      <x:c r="E10" s="44" t="str">
        <x:v>Medium</x:v>
      </x:c>
      <x:c r="F10" s="49" t="n">
        <x:v>4</x:v>
      </x:c>
      <x:c r="G10" s="49" t="n">
        <x:v>4</x:v>
      </x:c>
      <x:c r="H10" s="49" t="n">
        <x:v>4</x:v>
      </x:c>
      <x:c r="I10" s="49" t="n">
        <x:v>3</x:v>
      </x:c>
      <x:c r="J10" s="49" t="n">
        <x:v>3</x:v>
      </x:c>
      <x:c r="K10" s="49" t="n">
        <x:v>4</x:v>
      </x:c>
      <x:c r="L10" s="49" t="n">
        <x:v>3</x:v>
      </x:c>
      <x:c r="M10" s="51" t="n">
        <x:f>(F10*'权重'!$B$5+G10*'权重'!$B$6+H10*'权重'!$B$7+I10*'权重'!$B$8+J10*'权重'!$B$9+K10*'权重'!$B$10+L10*'权重'!$B$11)/5*100</x:f>
        <x:v>71</x:v>
      </x:c>
      <x:c r="N10" s="49" t="n">
        <x:v>71</x:v>
      </x:c>
      <x:c r="O10" s="51" t="n">
        <x:f>M10-N10</x:f>
        <x:v>0</x:v>
      </x:c>
      <x:c r="P10" s="44" t="str">
        <x:v>Rich collaboration context and developer workflow; distribution is strong but hyperscaler and GitHub competition matters.</x:v>
      </x:c>
    </x:row>
    <x:row r="11">
      <x:c r="A11" s="45" t="str">
        <x:v>GTLB</x:v>
      </x:c>
      <x:c r="B11" s="45" t="str">
        <x:v>GitLab</x:v>
      </x:c>
      <x:c r="C11" s="45" t="str">
        <x:v>Selective beneficiaries</x:v>
      </x:c>
      <x:c r="D11" s="45" t="str">
        <x:v>Selective Long</x:v>
      </x:c>
      <x:c r="E11" s="45" t="str">
        <x:v>Medium-High</x:v>
      </x:c>
      <x:c r="F11" s="49" t="n">
        <x:v>4</x:v>
      </x:c>
      <x:c r="G11" s="49" t="n">
        <x:v>4</x:v>
      </x:c>
      <x:c r="H11" s="49" t="n">
        <x:v>4</x:v>
      </x:c>
      <x:c r="I11" s="49" t="n">
        <x:v>4</x:v>
      </x:c>
      <x:c r="J11" s="49" t="n">
        <x:v>3</x:v>
      </x:c>
      <x:c r="K11" s="49" t="n">
        <x:v>4</x:v>
      </x:c>
      <x:c r="L11" s="49" t="n">
        <x:v>4</x:v>
      </x:c>
      <x:c r="M11" s="51" t="n">
        <x:f>(F11*'权重'!$B$5+G11*'权重'!$B$6+H11*'权重'!$B$7+I11*'权重'!$B$8+J11*'权重'!$B$9+K11*'权重'!$B$10+L11*'权重'!$B$11)/5*100</x:f>
        <x:v>76</x:v>
      </x:c>
      <x:c r="N11" s="49" t="n">
        <x:v>76</x:v>
      </x:c>
      <x:c r="O11" s="51" t="n">
        <x:f>M11-N11</x:f>
        <x:v>0</x:v>
      </x:c>
      <x:c r="P11" s="45" t="str">
        <x:v>End-to-end lifecycle context and model-neutral governance benefit from code volume; Duo revenue is not separately disclosed.</x:v>
      </x:c>
    </x:row>
    <x:row r="12">
      <x:c r="A12" s="44" t="str">
        <x:v>PATH</x:v>
      </x:c>
      <x:c r="B12" s="44" t="str">
        <x:v>UiPath</x:v>
      </x:c>
      <x:c r="C12" s="44" t="str">
        <x:v>Transition candidates</x:v>
      </x:c>
      <x:c r="D12" s="44" t="str">
        <x:v>Underweight</x:v>
      </x:c>
      <x:c r="E12" s="44" t="str">
        <x:v>Medium</x:v>
      </x:c>
      <x:c r="F12" s="49" t="n">
        <x:v>4</x:v>
      </x:c>
      <x:c r="G12" s="49" t="n">
        <x:v>5</x:v>
      </x:c>
      <x:c r="H12" s="49" t="n">
        <x:v>4</x:v>
      </x:c>
      <x:c r="I12" s="49" t="n">
        <x:v>4</x:v>
      </x:c>
      <x:c r="J12" s="49" t="n">
        <x:v>3</x:v>
      </x:c>
      <x:c r="K12" s="49" t="n">
        <x:v>4</x:v>
      </x:c>
      <x:c r="L12" s="49" t="n">
        <x:v>4</x:v>
      </x:c>
      <x:c r="M12" s="51" t="n">
        <x:f>(F12*'权重'!$B$5+G12*'权重'!$B$6+H12*'权重'!$B$7+I12*'权重'!$B$8+J12*'权重'!$B$9+K12*'权重'!$B$10+L12*'权重'!$B$11)/5*100</x:f>
        <x:v>79</x:v>
      </x:c>
      <x:c r="N12" s="49" t="n">
        <x:v>79</x:v>
      </x:c>
      <x:c r="O12" s="51" t="n">
        <x:f>M12-N12</x:f>
        <x:v>0</x:v>
      </x:c>
      <x:c r="P12" s="44" t="str">
        <x:v>Legacy execution assets and attractive valuation provide optionality, but 12% ARR growth and 109% NRR do not yet prove an agent-led reacceleration.</x:v>
      </x:c>
    </x:row>
    <x:row r="13">
      <x:c r="A13" s="45" t="str">
        <x:v>SNOW</x:v>
      </x:c>
      <x:c r="B13" s="45" t="str">
        <x:v>Snowflake</x:v>
      </x:c>
      <x:c r="C13" s="45" t="str">
        <x:v>Selective beneficiaries</x:v>
      </x:c>
      <x:c r="D13" s="45" t="str">
        <x:v>Neutral / valuation risk</x:v>
      </x:c>
      <x:c r="E13" s="45" t="str">
        <x:v>Medium</x:v>
      </x:c>
      <x:c r="F13" s="49" t="n">
        <x:v>5</x:v>
      </x:c>
      <x:c r="G13" s="49" t="n">
        <x:v>3</x:v>
      </x:c>
      <x:c r="H13" s="49" t="n">
        <x:v>4</x:v>
      </x:c>
      <x:c r="I13" s="49" t="n">
        <x:v>4</x:v>
      </x:c>
      <x:c r="J13" s="49" t="n">
        <x:v>3</x:v>
      </x:c>
      <x:c r="K13" s="49" t="n">
        <x:v>3</x:v>
      </x:c>
      <x:c r="L13" s="49" t="n">
        <x:v>2</x:v>
      </x:c>
      <x:c r="M13" s="51" t="n">
        <x:f>(F13*'权重'!$B$5+G13*'权重'!$B$6+H13*'权重'!$B$7+I13*'权重'!$B$8+J13*'权重'!$B$9+K13*'权重'!$B$10+L13*'权重'!$B$11)/5*100</x:f>
        <x:v>68</x:v>
      </x:c>
      <x:c r="N13" s="49" t="n">
        <x:v>68</x:v>
      </x:c>
      <x:c r="O13" s="51" t="n">
        <x:f>M13-N13</x:f>
        <x:v>0</x:v>
      </x:c>
      <x:c r="P13" s="45" t="str">
        <x:v>Enterprise data context is strategic, but execution rights are weaker and valuation assumes durable high consumption growth.</x:v>
      </x:c>
    </x:row>
    <x:row r="14">
      <x:c r="A14" s="44" t="str">
        <x:v>DDOG</x:v>
      </x:c>
      <x:c r="B14" s="44" t="str">
        <x:v>Datadog</x:v>
      </x:c>
      <x:c r="C14" s="44" t="str">
        <x:v>Selective beneficiaries</x:v>
      </x:c>
      <x:c r="D14" s="44" t="str">
        <x:v>Neutral / valuation risk</x:v>
      </x:c>
      <x:c r="E14" s="44" t="str">
        <x:v>Medium</x:v>
      </x:c>
      <x:c r="F14" s="49" t="n">
        <x:v>4</x:v>
      </x:c>
      <x:c r="G14" s="49" t="n">
        <x:v>3</x:v>
      </x:c>
      <x:c r="H14" s="49" t="n">
        <x:v>4</x:v>
      </x:c>
      <x:c r="I14" s="49" t="n">
        <x:v>4</x:v>
      </x:c>
      <x:c r="J14" s="49" t="n">
        <x:v>3</x:v>
      </x:c>
      <x:c r="K14" s="49" t="n">
        <x:v>4</x:v>
      </x:c>
      <x:c r="L14" s="49" t="n">
        <x:v>2</x:v>
      </x:c>
      <x:c r="M14" s="51" t="n">
        <x:f>(F14*'权重'!$B$5+G14*'权重'!$B$6+H14*'权重'!$B$7+I14*'权重'!$B$8+J14*'权重'!$B$9+K14*'权重'!$B$10+L14*'权重'!$B$11)/5*100</x:f>
        <x:v>67</x:v>
      </x:c>
      <x:c r="N14" s="49" t="n">
        <x:v>67</x:v>
      </x:c>
      <x:c r="O14" s="51" t="n">
        <x:f>M14-N14</x:f>
        <x:v>0</x:v>
      </x:c>
      <x:c r="P14" s="44" t="str">
        <x:v>More software and agents raise telemetry demand; monetization and extreme expectations remain key risks.</x:v>
      </x:c>
    </x:row>
    <x:row r="15">
      <x:c r="A15" s="45" t="str">
        <x:v>PANW</x:v>
      </x:c>
      <x:c r="B15" s="45" t="str">
        <x:v>Palo Alto Networks</x:v>
      </x:c>
      <x:c r="C15" s="45" t="str">
        <x:v>Structural winners</x:v>
      </x:c>
      <x:c r="D15" s="45" t="str">
        <x:v>Neutral / positive bias</x:v>
      </x:c>
      <x:c r="E15" s="45" t="str">
        <x:v>Medium-High</x:v>
      </x:c>
      <x:c r="F15" s="49" t="n">
        <x:v>4</x:v>
      </x:c>
      <x:c r="G15" s="49" t="n">
        <x:v>5</x:v>
      </x:c>
      <x:c r="H15" s="49" t="n">
        <x:v>5</x:v>
      </x:c>
      <x:c r="I15" s="49" t="n">
        <x:v>5</x:v>
      </x:c>
      <x:c r="J15" s="49" t="n">
        <x:v>4</x:v>
      </x:c>
      <x:c r="K15" s="49" t="n">
        <x:v>4</x:v>
      </x:c>
      <x:c r="L15" s="49" t="n">
        <x:v>2</x:v>
      </x:c>
      <x:c r="M15" s="51" t="n">
        <x:f>(F15*'权重'!$B$5+G15*'权重'!$B$6+H15*'权重'!$B$7+I15*'权重'!$B$8+J15*'权重'!$B$9+K15*'权重'!$B$10+L15*'权重'!$B$11)/5*100</x:f>
        <x:v>82</x:v>
      </x:c>
      <x:c r="N15" s="49" t="n">
        <x:v>82</x:v>
      </x:c>
      <x:c r="O15" s="51" t="n">
        <x:f>M15-N15</x:f>
        <x:v>0</x:v>
      </x:c>
      <x:c r="P15" s="45" t="str">
        <x:v>Security and acquired identity control are scarce agent-era assets; integration, debt/equity issuance and valuation are offsets.</x:v>
      </x:c>
    </x:row>
    <x:row r="16">
      <x:c r="A16" s="44" t="str">
        <x:v>CRWD</x:v>
      </x:c>
      <x:c r="B16" s="44" t="str">
        <x:v>CrowdStrike</x:v>
      </x:c>
      <x:c r="C16" s="44" t="str">
        <x:v>Structural winners</x:v>
      </x:c>
      <x:c r="D16" s="44" t="str">
        <x:v>Neutral / valuation risk</x:v>
      </x:c>
      <x:c r="E16" s="44" t="str">
        <x:v>Medium</x:v>
      </x:c>
      <x:c r="F16" s="49" t="n">
        <x:v>4</x:v>
      </x:c>
      <x:c r="G16" s="49" t="n">
        <x:v>5</x:v>
      </x:c>
      <x:c r="H16" s="49" t="n">
        <x:v>5</x:v>
      </x:c>
      <x:c r="I16" s="49" t="n">
        <x:v>5</x:v>
      </x:c>
      <x:c r="J16" s="49" t="n">
        <x:v>4</x:v>
      </x:c>
      <x:c r="K16" s="49" t="n">
        <x:v>4</x:v>
      </x:c>
      <x:c r="L16" s="49" t="n">
        <x:v>2</x:v>
      </x:c>
      <x:c r="M16" s="51" t="n">
        <x:f>(F16*'权重'!$B$5+G16*'权重'!$B$6+H16*'权重'!$B$7+I16*'权重'!$B$8+J16*'权重'!$B$9+K16*'权重'!$B$10+L16*'权重'!$B$11)/5*100</x:f>
        <x:v>82</x:v>
      </x:c>
      <x:c r="N16" s="49" t="n">
        <x:v>82</x:v>
      </x:c>
      <x:c r="O16" s="51" t="n">
        <x:f>M16-N16</x:f>
        <x:v>0</x:v>
      </x:c>
      <x:c r="P16" s="44" t="str">
        <x:v>Agent activity expands machine identity and attack surface; premium valuation limits asymmetric upside.</x:v>
      </x:c>
    </x:row>
    <x:row r="17">
      <x:c r="A17" s="45" t="str">
        <x:v>CYBR</x:v>
      </x:c>
      <x:c r="B17" s="45" t="str">
        <x:v>CyberArk (acquired)</x:v>
      </x:c>
      <x:c r="C17" s="45" t="str">
        <x:v>Acquired / not investable standalone</x:v>
      </x:c>
      <x:c r="D17" s="45" t="str">
        <x:v>N/A</x:v>
      </x:c>
      <x:c r="E17" s="45" t="str">
        <x:v>High</x:v>
      </x:c>
      <x:c r="F17" s="49" t="n">
        <x:v>4</x:v>
      </x:c>
      <x:c r="G17" s="49" t="n">
        <x:v>5</x:v>
      </x:c>
      <x:c r="H17" s="49" t="n">
        <x:v>4</x:v>
      </x:c>
      <x:c r="I17" s="49" t="n">
        <x:v>5</x:v>
      </x:c>
      <x:c r="J17" s="49" t="n">
        <x:v>4</x:v>
      </x:c>
      <x:c r="K17" s="49" t="n">
        <x:v>4</x:v>
      </x:c>
      <x:c r="L17" s="49" t="n">
        <x:v>1</x:v>
      </x:c>
      <x:c r="M17" s="51" t="n">
        <x:f>(F17*'权重'!$B$5+G17*'权重'!$B$6+H17*'权重'!$B$7+I17*'权重'!$B$8+J17*'权重'!$B$9+K17*'权重'!$B$10+L17*'权重'!$B$11)/5*100</x:f>
        <x:v>76</x:v>
      </x:c>
      <x:c r="N17" s="49" t="n">
        <x:v>76</x:v>
      </x:c>
      <x:c r="O17" s="51" t="n">
        <x:f>M17-N17</x:f>
        <x:v>0</x:v>
      </x:c>
      <x:c r="P17" s="45" t="str">
        <x:v>Strategically valuable control point, but acquisition completed 2026-02-11; no standalone public equity recommendation.</x:v>
      </x:c>
    </x:row>
    <x:row r="18">
      <x:c r="A18" s="44" t="str">
        <x:v>ACN</x:v>
      </x:c>
      <x:c r="B18" s="44" t="str">
        <x:v>Accenture</x:v>
      </x:c>
      <x:c r="C18" s="44" t="str">
        <x:v>Transition candidates</x:v>
      </x:c>
      <x:c r="D18" s="44" t="str">
        <x:v>Neutral</x:v>
      </x:c>
      <x:c r="E18" s="44" t="str">
        <x:v>Medium</x:v>
      </x:c>
      <x:c r="F18" s="49" t="n">
        <x:v>4</x:v>
      </x:c>
      <x:c r="G18" s="49" t="n">
        <x:v>4</x:v>
      </x:c>
      <x:c r="H18" s="49" t="n">
        <x:v>5</x:v>
      </x:c>
      <x:c r="I18" s="49" t="n">
        <x:v>4</x:v>
      </x:c>
      <x:c r="J18" s="49" t="n">
        <x:v>3</x:v>
      </x:c>
      <x:c r="K18" s="49" t="n">
        <x:v>5</x:v>
      </x:c>
      <x:c r="L18" s="49" t="n">
        <x:v>3</x:v>
      </x:c>
      <x:c r="M18" s="51" t="n">
        <x:f>(F18*'权重'!$B$5+G18*'权重'!$B$6+H18*'权重'!$B$7+I18*'权重'!$B$8+J18*'权重'!$B$9+K18*'权重'!$B$10+L18*'权重'!$B$11)/5*100</x:f>
        <x:v>78</x:v>
      </x:c>
      <x:c r="N18" s="49" t="n">
        <x:v>78</x:v>
      </x:c>
      <x:c r="O18" s="51" t="n">
        <x:f>M18-N18</x:f>
        <x:v>0</x:v>
      </x:c>
      <x:c r="P18" s="44" t="str">
        <x:v>Distribution and implementation demand benefit initially, while agent productivity can cannibalize labor-based revenue over time.</x:v>
      </x:c>
    </x:row>
    <x:row r="19">
      <x:c r="A19" s="45" t="str">
        <x:v>CTSH</x:v>
      </x:c>
      <x:c r="B19" s="45" t="str">
        <x:v>Cognizant</x:v>
      </x:c>
      <x:c r="C19" s="45" t="str">
        <x:v>Potentially disrupted</x:v>
      </x:c>
      <x:c r="D19" s="45" t="str">
        <x:v>Underweight</x:v>
      </x:c>
      <x:c r="E19" s="45" t="str">
        <x:v>Medium-Low</x:v>
      </x:c>
      <x:c r="F19" s="49" t="n">
        <x:v>3</x:v>
      </x:c>
      <x:c r="G19" s="49" t="n">
        <x:v>3</x:v>
      </x:c>
      <x:c r="H19" s="49" t="n">
        <x:v>4</x:v>
      </x:c>
      <x:c r="I19" s="49" t="n">
        <x:v>3</x:v>
      </x:c>
      <x:c r="J19" s="49" t="n">
        <x:v>2</x:v>
      </x:c>
      <x:c r="K19" s="49" t="n">
        <x:v>4</x:v>
      </x:c>
      <x:c r="L19" s="49" t="n">
        <x:v>4</x:v>
      </x:c>
      <x:c r="M19" s="51" t="n">
        <x:f>(F19*'权重'!$B$5+G19*'权重'!$B$6+H19*'权重'!$B$7+I19*'权重'!$B$8+J19*'权重'!$B$9+K19*'权重'!$B$10+L19*'权重'!$B$11)/5*100</x:f>
        <x:v>64</x:v>
      </x:c>
      <x:c r="N19" s="49" t="n">
        <x:v>64</x:v>
      </x:c>
      <x:c r="O19" s="51" t="n">
        <x:f>M19-N19</x:f>
        <x:v>0</x:v>
      </x:c>
      <x:c r="P19" s="45" t="str">
        <x:v>Implementation demand is a bridge, but labor-arbitrage exposure and weak separable AI monetization create medium-term pressure.</x:v>
      </x:c>
    </x:row>
    <x:row r="20">
      <x:c r="A20" s="44" t="str">
        <x:v>SSNC</x:v>
      </x:c>
      <x:c r="B20" s="44" t="str">
        <x:v>SS&amp;C / Blue Prism</x:v>
      </x:c>
      <x:c r="C20" s="44" t="str">
        <x:v>Transition candidates</x:v>
      </x:c>
      <x:c r="D20" s="44" t="str">
        <x:v>Neutral / cautious</x:v>
      </x:c>
      <x:c r="E20" s="44" t="str">
        <x:v>Medium-Low</x:v>
      </x:c>
      <x:c r="F20" s="49" t="n">
        <x:v>4</x:v>
      </x:c>
      <x:c r="G20" s="49" t="n">
        <x:v>4</x:v>
      </x:c>
      <x:c r="H20" s="49" t="n">
        <x:v>4</x:v>
      </x:c>
      <x:c r="I20" s="49" t="n">
        <x:v>3</x:v>
      </x:c>
      <x:c r="J20" s="49" t="n">
        <x:v>2</x:v>
      </x:c>
      <x:c r="K20" s="49" t="n">
        <x:v>4</x:v>
      </x:c>
      <x:c r="L20" s="49" t="n">
        <x:v>4</x:v>
      </x:c>
      <x:c r="M20" s="51" t="n">
        <x:f>(F20*'权重'!$B$5+G20*'权重'!$B$6+H20*'权重'!$B$7+I20*'权重'!$B$8+J20*'权重'!$B$9+K20*'权重'!$B$10+L20*'权重'!$B$11)/5*100</x:f>
        <x:v>70</x:v>
      </x:c>
      <x:c r="N20" s="49" t="n">
        <x:v>70</x:v>
      </x:c>
      <x:c r="O20" s="51" t="n">
        <x:f>M20-N20</x:f>
        <x:v>0</x:v>
      </x:c>
      <x:c r="P20" s="44" t="str">
        <x:v>Vertical context and installed automation support resilience; agent monetization evidence is weak and RPA is exposed.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20" hidden="0" customWidth="1"/>
    <x:col min="5" max="5" width="14" hidden="0" customWidth="1"/>
    <x:col min="6" max="6" width="64" hidden="0" customWidth="1"/>
    <x:col min="7" max="7" width="56" hidden="0" customWidth="1"/>
    <x:col min="8" max="8" width="18" hidden="0" customWidth="1"/>
    <x:col min="9" max="9" width="14" hidden="0" customWidth="1"/>
    <x:col min="10" max="10" width="10" hidden="0" customWidth="1"/>
  </x:cols>
  <x:sheetData>
    <x:row r="1" ht="32" customHeight="1">
      <x:c r="A1" s="21" t="str">
        <x:v>AI 商业化证据矩阵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 ht="24" customHeight="1">
      <x:c r="A2" s="24" t="str">
        <x:v>缺失披露不是零；它降低置信度，不能被填成估算收入。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4" ht="30" customHeight="1">
      <x:c r="A4" s="28" t="str">
        <x:v>Ticker</x:v>
      </x:c>
      <x:c r="B4" s="28" t="str">
        <x:v>公司</x:v>
      </x:c>
      <x:c r="C4" s="28" t="str">
        <x:v>计价方式</x:v>
      </x:c>
      <x:c r="D4" s="28" t="str">
        <x:v>单独 AI 收入披露</x:v>
      </x:c>
      <x:c r="E4" s="28" t="str">
        <x:v>证据强度</x:v>
      </x:c>
      <x:c r="F4" s="28" t="str">
        <x:v>最新证据</x:v>
      </x:c>
      <x:c r="G4" s="28" t="str">
        <x:v>局限</x:v>
      </x:c>
      <x:c r="H4" s="28" t="str">
        <x:v>来源</x:v>
      </x:c>
      <x:c r="I4" s="28" t="str">
        <x:v>研究日期</x:v>
      </x:c>
    </x:row>
    <x:row r="5">
      <x:c r="A5" s="45" t="str">
        <x:v>MSFT</x:v>
      </x:c>
      <x:c r="B5" s="45" t="str">
        <x:v>Microsoft</x:v>
      </x:c>
      <x:c r="C5" s="45" t="str">
        <x:v>Seat + usage credits</x:v>
      </x:c>
      <x:c r="D5" s="45" t="str">
        <x:v>Yes / hybrid</x:v>
      </x:c>
      <x:c r="E5" s="45" t="str">
        <x:v>Strong</x:v>
      </x:c>
      <x:c r="F5" s="45" t="str">
        <x:v>AI revenue run rate disclosed；Paid seats disclosed；Paid M365 Copilot seats disclosed；Insufficient evidence</x:v>
      </x:c>
      <x:c r="G5" s="45" t="str">
        <x:v>Not disclosed；Not disclosed；Cloud GM pressure disclosed；Low-to-Medium</x:v>
      </x:c>
      <x:c r="H5" s="45" t="str">
        <x:v>S04|S05|S22</x:v>
      </x:c>
      <x:c r="I5" s="45" t="str">
        <x:v>2026-07-29</x:v>
      </x:c>
    </x:row>
    <x:row r="6">
      <x:c r="A6" s="44" t="str">
        <x:v>NOW</x:v>
      </x:c>
      <x:c r="B6" s="44" t="str">
        <x:v>ServiceNow</x:v>
      </x:c>
      <x:c r="C6" s="44" t="str">
        <x:v>Tiered subscription + action pricing examples</x:v>
      </x:c>
      <x:c r="D6" s="44" t="str">
        <x:v>Yes / hybrid</x:v>
      </x:c>
      <x:c r="E6" s="44" t="str">
        <x:v>Strong</x:v>
      </x:c>
      <x:c r="F6" s="44" t="str">
        <x:v>AI ACV &gt;$1bn；Not disclosed；Agentic deployments claimed; large transactions disclosed；Supported by ACV/RPO evidence</x:v>
      </x:c>
      <x:c r="G6" s="44" t="str">
        <x:v>Not disclosed；Not disclosed；AI/hyperscaler pressure in guidance；Low-to-Medium</x:v>
      </x:c>
      <x:c r="H6" s="44" t="str">
        <x:v>S01|S14|S15</x:v>
      </x:c>
      <x:c r="I6" s="44" t="str">
        <x:v>2026-07-29</x:v>
      </x:c>
    </x:row>
    <x:row r="7">
      <x:c r="A7" s="45" t="str">
        <x:v>CRM</x:v>
      </x:c>
      <x:c r="B7" s="45" t="str">
        <x:v>Salesforce</x:v>
      </x:c>
      <x:c r="C7" s="45" t="str">
        <x:v>Consumption / platform</x:v>
      </x:c>
      <x:c r="D7" s="45" t="str">
        <x:v>Yes / hybrid</x:v>
      </x:c>
      <x:c r="E7" s="45" t="str">
        <x:v>Moderate</x:v>
      </x:c>
      <x:c r="F7" s="45" t="str">
        <x:v>Not used in core conclusions；Not disclosed；Company disclosures only；Insufficient evidence</x:v>
      </x:c>
      <x:c r="G7" s="45" t="str">
        <x:v>Not disclosed；Not disclosed；Not disclosed separately；Medium</x:v>
      </x:c>
      <x:c r="H7" s="45" t="str">
        <x:v>Company filings</x:v>
      </x:c>
      <x:c r="I7" s="45" t="str">
        <x:v>2026-07-29</x:v>
      </x:c>
    </x:row>
    <x:row r="8">
      <x:c r="A8" s="44" t="str">
        <x:v>SAP</x:v>
      </x:c>
      <x:c r="B8" s="44" t="str">
        <x:v>SAP</x:v>
      </x:c>
      <x:c r="C8" s="44" t="str">
        <x:v>Subscription / consumption</x:v>
      </x:c>
      <x:c r="D8" s="44" t="str">
        <x:v>Yes / hybrid</x:v>
      </x:c>
      <x:c r="E8" s="44" t="str">
        <x:v>Moderate</x:v>
      </x:c>
      <x:c r="F8" s="44" t="str">
        <x:v>Not disclosed separately；Not disclosed；Customer examples；Insufficient evidence</x:v>
      </x:c>
      <x:c r="G8" s="44" t="str">
        <x:v>Not disclosed；Not disclosed；Not disclosed separately；Low-to-Medium</x:v>
      </x:c>
      <x:c r="H8" s="44" t="str">
        <x:v>Company filings</x:v>
      </x:c>
      <x:c r="I8" s="44" t="str">
        <x:v>2026-07-29</x:v>
      </x:c>
    </x:row>
    <x:row r="9">
      <x:c r="A9" s="45" t="str">
        <x:v>ORCL</x:v>
      </x:c>
      <x:c r="B9" s="45" t="str">
        <x:v>Oracle</x:v>
      </x:c>
      <x:c r="C9" s="45" t="str">
        <x:v>Cloud consumption + application subscription</x:v>
      </x:c>
      <x:c r="D9" s="45" t="str">
        <x:v>Yes / hybrid</x:v>
      </x:c>
      <x:c r="E9" s="45" t="str">
        <x:v>Moderate</x:v>
      </x:c>
      <x:c r="F9" s="45" t="str">
        <x:v>Cloud/AI capacity discussed; app AI not separate；Not disclosed；Customer demand claimed；Insufficient evidence</x:v>
      </x:c>
      <x:c r="G9" s="45" t="str">
        <x:v>Not disclosed；Not disclosed；CapEx intensity visible；Low-to-Medium</x:v>
      </x:c>
      <x:c r="H9" s="45" t="str">
        <x:v>Company filings</x:v>
      </x:c>
      <x:c r="I9" s="45" t="str">
        <x:v>2026-07-29</x:v>
      </x:c>
    </x:row>
    <x:row r="10">
      <x:c r="A10" s="44" t="str">
        <x:v>TEAM</x:v>
      </x:c>
      <x:c r="B10" s="44" t="str">
        <x:v>Atlassian</x:v>
      </x:c>
      <x:c r="C10" s="44" t="str">
        <x:v>Seat-based tiers with AI features</x:v>
      </x:c>
      <x:c r="D10" s="44" t="str">
        <x:v>Yes / hybrid</x:v>
      </x:c>
      <x:c r="E10" s="44" t="str">
        <x:v>Moderate</x:v>
      </x:c>
      <x:c r="F10" s="44" t="str">
        <x:v>Not disclosed separately；Not disclosed；Adoption metrics limited；Insufficient evidence</x:v>
      </x:c>
      <x:c r="G10" s="44" t="str">
        <x:v>Not disclosed；Not disclosed；Not disclosed separately；Medium</x:v>
      </x:c>
      <x:c r="H10" s="44" t="str">
        <x:v>Company filings</x:v>
      </x:c>
      <x:c r="I10" s="44" t="str">
        <x:v>2026-07-29</x:v>
      </x:c>
    </x:row>
    <x:row r="11">
      <x:c r="A11" s="45" t="str">
        <x:v>GTLB</x:v>
      </x:c>
      <x:c r="B11" s="45" t="str">
        <x:v>GitLab</x:v>
      </x:c>
      <x:c r="C11" s="45" t="str">
        <x:v>Subscription + GitLab Credits</x:v>
      </x:c>
      <x:c r="D11" s="45" t="str">
        <x:v>Yes / hybrid</x:v>
      </x:c>
      <x:c r="E11" s="45" t="str">
        <x:v>Moderate</x:v>
      </x:c>
      <x:c r="F11" s="45" t="str">
        <x:v>AI ARR not disclosed；Not disclosed；GA product; promising traction claimed；Insufficient evidence</x:v>
      </x:c>
      <x:c r="G11" s="45" t="str">
        <x:v>Not disclosed；Not disclosed；Gross margin down 2ppt YoY；Low-to-Medium</x:v>
      </x:c>
      <x:c r="H11" s="45" t="str">
        <x:v>S02|S16|S17</x:v>
      </x:c>
      <x:c r="I11" s="45" t="str">
        <x:v>2026-07-29</x:v>
      </x:c>
    </x:row>
    <x:row r="12">
      <x:c r="A12" s="44" t="str">
        <x:v>PATH</x:v>
      </x:c>
      <x:c r="B12" s="44" t="str">
        <x:v>UiPath</x:v>
      </x:c>
      <x:c r="C12" s="44" t="str">
        <x:v>Platform + user + consumption</x:v>
      </x:c>
      <x:c r="D12" s="44" t="str">
        <x:v>Yes / hybrid</x:v>
      </x:c>
      <x:c r="E12" s="44" t="str">
        <x:v>Moderate</x:v>
      </x:c>
      <x:c r="F12" s="44" t="str">
        <x:v>Agent AI ARR not disclosed；Not disclosed；Pilot-to-production is management claim；Insufficient evidence</x:v>
      </x:c>
      <x:c r="G12" s="44" t="str">
        <x:v>Not disclosed；Not disclosed；GAAP GM stable; AI cost not separate；Medium</x:v>
      </x:c>
      <x:c r="H12" s="44" t="str">
        <x:v>S03|S19|S21</x:v>
      </x:c>
      <x:c r="I12" s="44" t="str">
        <x:v>2026-07-29</x:v>
      </x:c>
    </x:row>
    <x:row r="13">
      <x:c r="A13" s="45" t="str">
        <x:v>SNOW</x:v>
      </x:c>
      <x:c r="B13" s="45" t="str">
        <x:v>Snowflake</x:v>
      </x:c>
      <x:c r="C13" s="45" t="str">
        <x:v>Consumption</x:v>
      </x:c>
      <x:c r="D13" s="45" t="str">
        <x:v>Yes / hybrid</x:v>
      </x:c>
      <x:c r="E13" s="45" t="str">
        <x:v>Moderate</x:v>
      </x:c>
      <x:c r="F13" s="45" t="str">
        <x:v>AI revenue not separate；Not disclosed；Customer use cases；Insufficient evidence</x:v>
      </x:c>
      <x:c r="G13" s="45" t="str">
        <x:v>Not disclosed；Not disclosed；Consumption cost visible in filings；Low-to-Medium</x:v>
      </x:c>
      <x:c r="H13" s="45" t="str">
        <x:v>Company filings</x:v>
      </x:c>
      <x:c r="I13" s="45" t="str">
        <x:v>2026-07-29</x:v>
      </x:c>
    </x:row>
    <x:row r="14">
      <x:c r="A14" s="44" t="str">
        <x:v>DDOG</x:v>
      </x:c>
      <x:c r="B14" s="44" t="str">
        <x:v>Datadog</x:v>
      </x:c>
      <x:c r="C14" s="44" t="str">
        <x:v>Usage</x:v>
      </x:c>
      <x:c r="D14" s="44" t="str">
        <x:v>Not disclosed</x:v>
      </x:c>
      <x:c r="E14" s="44" t="str">
        <x:v>Weak</x:v>
      </x:c>
      <x:c r="F14" s="44" t="str">
        <x:v>AI-specific revenue not disclosed；Not disclosed；Product availability；Insufficient evidence</x:v>
      </x:c>
      <x:c r="G14" s="44" t="str">
        <x:v>Not disclosed；Not disclosed；Not disclosed separately；Low-to-Medium</x:v>
      </x:c>
      <x:c r="H14" s="44" t="str">
        <x:v>Company filings</x:v>
      </x:c>
      <x:c r="I14" s="44" t="str">
        <x:v>2026-07-29</x:v>
      </x:c>
    </x:row>
    <x:row r="15">
      <x:c r="A15" s="45" t="str">
        <x:v>PANW</x:v>
      </x:c>
      <x:c r="B15" s="45" t="str">
        <x:v>Palo Alto Networks</x:v>
      </x:c>
      <x:c r="C15" s="45" t="str">
        <x:v>Platform subscription</x:v>
      </x:c>
      <x:c r="D15" s="45" t="str">
        <x:v>Yes / hybrid</x:v>
      </x:c>
      <x:c r="E15" s="45" t="str">
        <x:v>Moderate</x:v>
      </x:c>
      <x:c r="F15" s="45" t="str">
        <x:v>AI-specific revenue not separated；Not disclosed；Security platform adoption；Insufficient evidence</x:v>
      </x:c>
      <x:c r="G15" s="45" t="str">
        <x:v>Not disclosed；Not disclosed；Acquisition integration affects comparability；Low-to-Medium</x:v>
      </x:c>
      <x:c r="H15" s="45" t="str">
        <x:v>S23|S24</x:v>
      </x:c>
      <x:c r="I15" s="45" t="str">
        <x:v>2026-07-29</x:v>
      </x:c>
    </x:row>
    <x:row r="16">
      <x:c r="A16" s="44" t="str">
        <x:v>CRWD</x:v>
      </x:c>
      <x:c r="B16" s="44" t="str">
        <x:v>CrowdStrike</x:v>
      </x:c>
      <x:c r="C16" s="44" t="str">
        <x:v>Module subscription + usage</x:v>
      </x:c>
      <x:c r="D16" s="44" t="str">
        <x:v>Yes / hybrid</x:v>
      </x:c>
      <x:c r="E16" s="44" t="str">
        <x:v>Moderate</x:v>
      </x:c>
      <x:c r="F16" s="44" t="str">
        <x:v>AI-specific revenue not separated；Not disclosed；Security operations use cases；Insufficient evidence</x:v>
      </x:c>
      <x:c r="G16" s="44" t="str">
        <x:v>Not disclosed；Not disclosed；Not disclosed separately；Low-to-Medium</x:v>
      </x:c>
      <x:c r="H16" s="44" t="str">
        <x:v>Company filings</x:v>
      </x:c>
      <x:c r="I16" s="44" t="str">
        <x:v>2026-07-29</x:v>
      </x:c>
    </x:row>
    <x:row r="17">
      <x:c r="A17" s="45" t="str">
        <x:v>CYBR</x:v>
      </x:c>
      <x:c r="B17" s="45" t="str">
        <x:v>CyberArk (acquired)</x:v>
      </x:c>
      <x:c r="C17" s="45" t="str">
        <x:v>Acquired</x:v>
      </x:c>
      <x:c r="D17" s="45" t="str">
        <x:v>Not disclosed</x:v>
      </x:c>
      <x:c r="E17" s="45" t="str">
        <x:v>N/A</x:v>
      </x:c>
      <x:c r="F17" s="45" t="str">
        <x:v>N/A；Not disclosed；N/A；Insufficient evidence</x:v>
      </x:c>
      <x:c r="G17" s="45" t="str">
        <x:v>Not disclosed；Not disclosed；N/A；Low-to-Medium</x:v>
      </x:c>
      <x:c r="H17" s="45" t="str">
        <x:v>S23|S24</x:v>
      </x:c>
      <x:c r="I17" s="45" t="str">
        <x:v>2026-07-29</x:v>
      </x:c>
    </x:row>
    <x:row r="18">
      <x:c r="A18" s="44" t="str">
        <x:v>ACN</x:v>
      </x:c>
      <x:c r="B18" s="44" t="str">
        <x:v>Accenture</x:v>
      </x:c>
      <x:c r="C18" s="44" t="str">
        <x:v>Services / managed services</x:v>
      </x:c>
      <x:c r="D18" s="44" t="str">
        <x:v>Yes / hybrid</x:v>
      </x:c>
      <x:c r="E18" s="44" t="str">
        <x:v>Moderate</x:v>
      </x:c>
      <x:c r="F18" s="44" t="str">
        <x:v>Bookings disclosed, product revenue N/A；Not disclosed；Client programs；Insufficient evidence</x:v>
      </x:c>
      <x:c r="G18" s="44" t="str">
        <x:v>Not disclosed；Not disclosed；Labor productivity/cannibalization not separated；Low-to-Medium</x:v>
      </x:c>
      <x:c r="H18" s="44" t="str">
        <x:v>Company filings</x:v>
      </x:c>
      <x:c r="I18" s="44" t="str">
        <x:v>2026-07-29</x:v>
      </x:c>
    </x:row>
    <x:row r="19">
      <x:c r="A19" s="45" t="str">
        <x:v>CTSH</x:v>
      </x:c>
      <x:c r="B19" s="45" t="str">
        <x:v>Cognizant</x:v>
      </x:c>
      <x:c r="C19" s="45" t="str">
        <x:v>Services</x:v>
      </x:c>
      <x:c r="D19" s="45" t="str">
        <x:v>Not disclosed</x:v>
      </x:c>
      <x:c r="E19" s="45" t="str">
        <x:v>Weak</x:v>
      </x:c>
      <x:c r="F19" s="45" t="str">
        <x:v>Not disclosed separately；Not disclosed；Client examples；Insufficient evidence</x:v>
      </x:c>
      <x:c r="G19" s="45" t="str">
        <x:v>Not disclosed；Not disclosed；AI impact not separated；Low-to-Medium</x:v>
      </x:c>
      <x:c r="H19" s="45" t="str">
        <x:v>Company filings</x:v>
      </x:c>
      <x:c r="I19" s="45" t="str">
        <x:v>2026-07-29</x:v>
      </x:c>
    </x:row>
    <x:row r="20">
      <x:c r="A20" s="44" t="str">
        <x:v>SSNC</x:v>
      </x:c>
      <x:c r="B20" s="44" t="str">
        <x:v>SS&amp;C / Blue Prism</x:v>
      </x:c>
      <x:c r="C20" s="44" t="str">
        <x:v>Subscription + services</x:v>
      </x:c>
      <x:c r="D20" s="44" t="str">
        <x:v>Not disclosed</x:v>
      </x:c>
      <x:c r="E20" s="44" t="str">
        <x:v>Weak</x:v>
      </x:c>
      <x:c r="F20" s="44" t="str">
        <x:v>Not disclosed；Not disclosed；Product claims；Insufficient evidence</x:v>
      </x:c>
      <x:c r="G20" s="44" t="str">
        <x:v>Not disclosed；Not disclosed；Not disclosed separately；Medium</x:v>
      </x:c>
      <x:c r="H20" s="44" t="str">
        <x:v>Company filings</x:v>
      </x:c>
      <x:c r="I20" s="44" t="str">
        <x:v>2026-07-29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21" t="str">
        <x:v>模型检查</x:v>
      </x:c>
      <x:c r="B1" s="21"/>
      <x:c r="C1" s="21"/>
      <x:c r="D1" s="21"/>
      <x:c r="E1" s="21"/>
      <x:c r="F1" s="21"/>
    </x:row>
    <x:row r="2" ht="24" customHeight="1">
      <x:c r="A2" s="24" t="str">
        <x:v>所有检查应为 OK 或零。</x:v>
      </x:c>
      <x:c r="B2" s="24"/>
      <x:c r="C2" s="24"/>
      <x:c r="D2" s="24"/>
      <x:c r="E2" s="24"/>
      <x:c r="F2" s="24"/>
    </x:row>
    <x:row r="4">
      <x:c r="A4" s="11" t="str">
        <x:v>检查项</x:v>
      </x:c>
      <x:c r="B4" s="11" t="str">
        <x:v>结果</x:v>
      </x:c>
    </x:row>
    <x:row r="5">
      <x:c r="A5" t="str">
        <x:v>权重合计</x:v>
      </x:c>
      <x:c r="B5" s="39" t="n">
        <x:f>'权重'!B13</x:f>
        <x:v>1</x:v>
      </x:c>
    </x:row>
    <x:row r="6">
      <x:c r="A6" t="str">
        <x:v>最大复算偏差</x:v>
      </x:c>
      <x:c r="B6" s="52" t="n">
        <x:f>MAX(MAX('评分'!O5:O20),-MIN('评分'!O5:O20))</x:f>
        <x:v>1.4210854715202004e-14</x:v>
      </x:c>
    </x:row>
    <x:row r="7">
      <x:c r="A7" t="str">
        <x:v>公司数量</x:v>
      </x:c>
      <x:c r="B7" s="40" t="n">
        <x:f>COUNTA('评分'!A5:A20)</x:f>
        <x:v>16</x:v>
      </x:c>
    </x:row>
    <x:row r="8">
      <x:c r="A8" t="str">
        <x:v>缺失商业化证据行数</x:v>
      </x:c>
      <x:c r="B8" s="40" t="n">
        <x:f>COUNTBLANK('商业化证据'!F5:F20)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