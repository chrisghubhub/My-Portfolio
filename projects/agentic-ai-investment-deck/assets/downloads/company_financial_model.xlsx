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43484499c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b2dfdd964d0d41f2"/>
    <x:sheet xmlns:r="http://schemas.openxmlformats.org/officeDocument/2006/relationships" name="年度实际" sheetId="2" r:id="R90e73570ddc349fc"/>
    <x:sheet xmlns:r="http://schemas.openxmlformats.org/officeDocument/2006/relationships" name="LTM实际" sheetId="3" r:id="R7032e409558e4c66"/>
    <x:sheet xmlns:r="http://schemas.openxmlformats.org/officeDocument/2006/relationships" name="预测假设" sheetId="4" r:id="Rf3e5aa5333c940a2"/>
    <x:sheet xmlns:r="http://schemas.openxmlformats.org/officeDocument/2006/relationships" name="预测" sheetId="5" r:id="R1ba1bac009444228"/>
    <x:sheet xmlns:r="http://schemas.openxmlformats.org/officeDocument/2006/relationships" name="检查" sheetId="6" r:id="R0acb69e3cdf1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0.0%"/>
    <x:numFmt numFmtId="202" formatCode="0.0x"/>
    <x:numFmt numFmtId="203" formatCode="0.000"/>
  </x:numFmts>
  <x:fonts count="12">
    <x:font>
      <x:sz val="11"/>
      <x:name val="Carlito"/>
    </x:font>
    <x:font>
      <x:b/>
      <x:sz val="24"/>
      <x:color rgb="FFFFFFFF"/>
      <x:name val="Carlito"/>
    </x:font>
    <x:font>
      <x:b/>
      <x:sz val="12"/>
      <x:color rgb="FF203A5F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203A5F"/>
      <x:name val="Carlito"/>
    </x:font>
    <x:font>
      <x:b/>
      <x:sz val="18"/>
      <x:color rgb="FFFFFFFF"/>
      <x:name val="Carlito"/>
    </x:font>
    <x:font>
      <x:i/>
      <x:sz val="10"/>
      <x:color rgb="FF5E6B78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sz val="9"/>
      <x:color rgb="FF2F6BFF"/>
      <x:name val="Carlito"/>
    </x:font>
    <x:font>
      <x:sz val="9"/>
      <x:color rgb="FF1B9E7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1FF"/>
      </x:patternFill>
    </x:fill>
    <x:fill>
      <x:patternFill patternType="solid">
        <x:fgColor rgb="FF203A5F"/>
      </x:patternFill>
    </x:fill>
    <x:fill>
      <x:patternFill patternType="solid">
        <x:fgColor rgb="FFEEF3F8"/>
      </x:patternFill>
    </x:fill>
    <x:fill>
      <x:patternFill patternType="solid">
        <x:fgColor rgb="FFE9F6F1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0"/>
    </x:xf>
    <x:xf numFmtId="0" fontId="9" fillId="0" borderId="1" xfId="0" applyNumberFormat="1" applyFont="1" applyFill="1" applyBorder="1" applyAlignment="1">
      <x:alignment vertical="center" wrapText="0"/>
    </x:xf>
    <x:xf numFmtId="0" fontId="9" fillId="5" borderId="1" xfId="0" applyNumberFormat="1" applyFont="1" applyFill="1" applyBorder="1" applyAlignment="1">
      <x:alignment vertical="center" wrapText="0"/>
    </x:xf>
    <x:xf numFmtId="200" fontId="9" fillId="5" borderId="1" xfId="0" applyNumberFormat="1" applyFont="1" applyFill="1" applyBorder="1" applyAlignment="1">
      <x:alignment vertical="center" wrapText="0"/>
    </x:xf>
    <x:xf numFmtId="200" fontId="9" fillId="0" borderId="1" xfId="0" applyNumberFormat="1" applyFont="1" applyFill="1" applyBorder="1" applyAlignment="1">
      <x:alignment vertical="center" wrapText="0"/>
    </x:xf>
    <x:xf numFmtId="201" fontId="9" fillId="5" borderId="1" xfId="0" applyNumberFormat="1" applyFont="1" applyFill="1" applyBorder="1" applyAlignment="1">
      <x:alignment vertical="center" wrapText="0"/>
    </x:xf>
    <x:xf numFmtId="201" fontId="9" fillId="0" borderId="1" xfId="0" applyNumberFormat="1" applyFont="1" applyFill="1" applyBorder="1" applyAlignment="1">
      <x:alignment vertical="center" wrapText="0"/>
    </x:xf>
    <x:xf numFmtId="202" fontId="9" fillId="5" borderId="1" xfId="0" applyNumberFormat="1" applyFont="1" applyFill="1" applyBorder="1" applyAlignment="1">
      <x:alignment vertical="center" wrapText="0"/>
    </x:xf>
    <x:xf numFmtId="202" fontId="9" fillId="0" borderId="1" xfId="0" applyNumberFormat="1" applyFont="1" applyFill="1" applyBorder="1" applyAlignment="1">
      <x:alignment vertical="center" wrapText="0"/>
    </x:xf>
    <x:xf numFmtId="201" fontId="9" fillId="3" borderId="1" xfId="0" applyNumberFormat="1" applyFont="1" applyFill="1" applyBorder="1" applyAlignment="1">
      <x:alignment vertical="center" wrapText="0"/>
    </x:xf>
    <x:xf numFmtId="202" fontId="9" fillId="3" borderId="1" xfId="0" applyNumberFormat="1" applyFont="1" applyFill="1" applyBorder="1" applyAlignment="1">
      <x:alignment vertical="center" wrapText="0"/>
    </x:xf>
    <x:xf numFmtId="201" fontId="10" fillId="3" borderId="1" xfId="0" applyNumberFormat="1" applyFont="1" applyFill="1" applyBorder="1" applyAlignment="1">
      <x:alignment vertical="center" wrapText="0"/>
    </x:xf>
    <x:xf numFmtId="202" fontId="10" fillId="3" borderId="1" xfId="0" applyNumberFormat="1" applyFont="1" applyFill="1" applyBorder="1" applyAlignment="1">
      <x:alignment vertical="center" wrapText="0"/>
    </x:xf>
    <x:xf numFmtId="0" fontId="9" fillId="6" borderId="1" xfId="0" applyNumberFormat="1" applyFont="1" applyFill="1" applyBorder="1" applyAlignment="1">
      <x:alignment vertical="center" wrapText="0"/>
    </x:xf>
    <x:xf numFmtId="0" fontId="11" fillId="6" borderId="1" xfId="0" applyNumberFormat="1" applyFont="1" applyFill="1" applyBorder="1" applyAlignment="1">
      <x:alignment vertical="center" wrapText="0"/>
    </x:xf>
    <x:xf numFmtId="200" fontId="11" fillId="6" borderId="1" xfId="0" applyNumberFormat="1" applyFont="1" applyFill="1" applyBorder="1" applyAlignment="1">
      <x:alignment vertical="center" wrapText="0"/>
    </x:xf>
    <x:xf numFmtId="203" fontId="11" fillId="6" borderId="1" xfId="0" applyNumberFormat="1" applyFont="1" applyFill="1" applyBorder="1" applyAlignment="1">
      <x:alignment vertical="center" wrapText="0"/>
    </x:xf>
    <x:xf numFmtId="201" fontId="11" fillId="6" borderId="1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/>
    <x:xf numFmtId="203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62d28b43141db" /><Relationship Type="http://schemas.openxmlformats.org/officeDocument/2006/relationships/theme" Target="/xl/theme/theme1.xml" Id="R3164a6998d614c59" /><Relationship Type="http://schemas.openxmlformats.org/officeDocument/2006/relationships/sharedStrings" Target="/xl/sharedStrings.xml" Id="Rb24ff78a136b48bc" /><Relationship Type="http://schemas.openxmlformats.org/officeDocument/2006/relationships/worksheet" Target="/xl/worksheets/sheet1.xml" Id="Rb2dfdd964d0d41f2" /><Relationship Type="http://schemas.openxmlformats.org/officeDocument/2006/relationships/worksheet" Target="/xl/worksheets/sheet2.xml" Id="R90e73570ddc349fc" /><Relationship Type="http://schemas.openxmlformats.org/officeDocument/2006/relationships/worksheet" Target="/xl/worksheets/sheet3.xml" Id="R7032e409558e4c66" /><Relationship Type="http://schemas.openxmlformats.org/officeDocument/2006/relationships/worksheet" Target="/xl/worksheets/sheet4.xml" Id="Rf3e5aa5333c940a2" /><Relationship Type="http://schemas.openxmlformats.org/officeDocument/2006/relationships/worksheet" Target="/xl/worksheets/sheet5.xml" Id="R1ba1bac009444228" /><Relationship Type="http://schemas.openxmlformats.org/officeDocument/2006/relationships/worksheet" Target="/xl/worksheets/sheet6.xml" Id="R0acb69e3cdf1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Company Financial Model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5" ht="34" customHeight="1">
      <x:c r="A5" s="9" t="str">
        <x:v>NOW / GTLB / PATH：历史、LTM 与三情景三年预测。</x:v>
      </x:c>
      <x:c r="B5" s="9"/>
      <x:c r="C5" s="9"/>
      <x:c r="D5" s="9"/>
      <x:c r="E5" s="9"/>
      <x:c r="F5" s="9"/>
      <x:c r="G5" s="9"/>
      <x:c r="H5" s="9"/>
    </x:row>
    <x:row r="7" ht="28" customHeight="1">
      <x:c r="A7" s="12" t="str">
        <x:v>研究截止日</x:v>
      </x:c>
      <x:c r="B7" s="16" t="str">
        <x:v>2026-07-29</x:v>
      </x:c>
    </x:row>
    <x:row r="8" ht="28" customHeight="1">
      <x:c r="A8" s="12" t="str">
        <x:v>市场价日期</x:v>
      </x:c>
      <x:c r="B8" s="16" t="str">
        <x:v>2026-07-28 收盘</x:v>
      </x:c>
    </x:row>
    <x:row r="9" ht="28" customHeight="1">
      <x:c r="A9" s="12" t="str">
        <x:v>单位</x:v>
      </x:c>
      <x:c r="B9" s="16" t="str">
        <x:v>除特别说明外：USD mm / 每股 USD</x:v>
      </x:c>
    </x:row>
    <x:row r="10" ht="28" customHeight="1">
      <x:c r="A10" s="12" t="str">
        <x:v>颜色规则</x:v>
      </x:c>
      <x:c r="B10" s="16" t="str">
        <x:v>蓝色=外部/管理层输入；绿色=公式；灰色=作者假设</x:v>
      </x:c>
    </x:row>
    <x:row r="11" ht="28" customHeight="1">
      <x:c r="A11" s="12" t="str">
        <x:v>免责声明</x:v>
      </x:c>
      <x:c r="B11" s="16" t="str">
        <x:v>研究演示，不构成投资建议。预测与倍数均为作者假设。</x:v>
      </x:c>
    </x:row>
    <x:row r="12" ht="28" customHeight="1"/>
    <x:row r="13" ht="28" customHeight="1">
      <x:c r="A13" s="11" t="str">
        <x:v>工作表说明</x:v>
      </x:c>
      <x:c r="B13" s="11"/>
      <x:c r="C13" s="11"/>
      <x:c r="D13" s="11"/>
      <x:c r="E13" s="11"/>
      <x:c r="F13" s="11"/>
      <x:c r="G13" s="11"/>
      <x:c r="H13" s="11"/>
    </x:row>
    <x:row r="14" ht="28" customHeight="1">
      <x:c r="A14" s="18" t="str">
        <x:v>年度实际</x:v>
      </x:c>
      <x:c r="B14" s="19" t="str">
        <x:v>SEC Company Facts 清洗后的年度 GAAP 财务。</x:v>
      </x:c>
    </x:row>
    <x:row r="15" ht="28" customHeight="1">
      <x:c r="A15" s="18" t="str">
        <x:v>LTM 实际</x:v>
      </x:c>
      <x:c r="B15" s="19" t="str">
        <x:v>年度 + 最新 YTD − 上年同期 YTD。</x:v>
      </x:c>
    </x:row>
    <x:row r="16" ht="28" customHeight="1">
      <x:c r="A16" s="18" t="str">
        <x:v>预测假设</x:v>
      </x:c>
      <x:c r="B16" s="19" t="str">
        <x:v>增长、毛利率、营业利润率、FCF 利润率、股数变化。</x:v>
      </x:c>
    </x:row>
    <x:row r="17" ht="28" customHeight="1">
      <x:c r="A17" s="18" t="str">
        <x:v>预测</x:v>
      </x:c>
      <x:c r="B17" s="19" t="str">
        <x:v>公式驱动的收入、利润和现金流。</x:v>
      </x:c>
    </x:row>
    <x:row r="18" ht="28" customHeight="1">
      <x:c r="A18" s="18" t="str">
        <x:v>检查</x:v>
      </x:c>
      <x:c r="B18" s="19" t="str">
        <x:v>公式桥与来源说明。</x:v>
      </x:c>
    </x:row>
    <x:row r="19" ht="28" customHeight="1"/>
    <x:row r="20" ht="28" customHeight="1"/>
  </x:sheetData>
  <x:mergeCells>
    <x:mergeCell ref="A1:H3"/>
    <x:mergeCell ref="A5:H5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40" hidden="0" customWidth="1"/>
  </x:cols>
  <x:sheetData>
    <x:row r="1" ht="32" customHeight="1">
      <x:c r="A1" s="21" t="str">
        <x:v>年度实际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 ht="24" customHeight="1">
      <x:c r="A2" s="24" t="str">
        <x:v>USD mm；空白代表未可靠映射，不代表零。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4" ht="30" customHeight="1">
      <x:c r="A4" s="28" t="str">
        <x:v>Ticker</x:v>
      </x:c>
      <x:c r="B4" s="28" t="str">
        <x:v>公司</x:v>
      </x:c>
      <x:c r="C4" s="28" t="str">
        <x:v>财年</x:v>
      </x:c>
      <x:c r="D4" s="28" t="str">
        <x:v>期末</x:v>
      </x:c>
      <x:c r="E4" s="28" t="str">
        <x:v>收入</x:v>
      </x:c>
      <x:c r="F4" s="28" t="str">
        <x:v>增长</x:v>
      </x:c>
      <x:c r="G4" s="28" t="str">
        <x:v>毛利率</x:v>
      </x:c>
      <x:c r="H4" s="28" t="str">
        <x:v>营业利润率</x:v>
      </x:c>
      <x:c r="I4" s="28" t="str">
        <x:v>FCF</x:v>
      </x:c>
      <x:c r="J4" s="28" t="str">
        <x:v>FCF率</x:v>
      </x:c>
      <x:c r="K4" s="28" t="str">
        <x:v>SBC</x:v>
      </x:c>
      <x:c r="L4" s="28" t="str">
        <x:v>SBC/收入</x:v>
      </x:c>
      <x:c r="M4" s="28" t="str">
        <x:v>来源</x:v>
      </x:c>
    </x:row>
    <x:row r="5">
      <x:c r="A5" s="33" t="str">
        <x:v>NOW</x:v>
      </x:c>
      <x:c r="B5" s="33" t="str">
        <x:v>ServiceNow</x:v>
      </x:c>
      <x:c r="C5" s="33" t="n">
        <x:v>2023</x:v>
      </x:c>
      <x:c r="D5" s="33" t="str">
        <x:v>2023-12-31</x:v>
      </x:c>
      <x:c r="E5" s="34" t="n">
        <x:v>8971</x:v>
      </x:c>
      <x:c r="F5" s="36"/>
      <x:c r="G5" s="36" t="n">
        <x:v>0.7858655668264407</x:v>
      </x:c>
      <x:c r="H5" s="36" t="n">
        <x:v>0.08494036339315572</x:v>
      </x:c>
      <x:c r="I5" s="34" t="n">
        <x:v>2704</x:v>
      </x:c>
      <x:c r="J5" s="36" t="n">
        <x:v>0.3014156727232193</x:v>
      </x:c>
      <x:c r="K5" s="34" t="n">
        <x:v>1604</x:v>
      </x:c>
      <x:c r="L5" s="36" t="n">
        <x:v>0.17879835023966112</x:v>
      </x:c>
      <x:c r="M5" s="33" t="str">
        <x:v>SEC:0001373715-26-000007:GrossProfit|SEC:0001373715-26-000007:NetCashProvidedByUsedInOperatingActivities|SEC:0001373715-26-000007:OperatingIncomeLoss|SEC:0001373715-26-000007:PaymentsToAcquirePropertyPlantAndEquipment|SEC:0001373715-26-000007:RevenueFromContractWithCustomerExcludingAssessedTax|SEC:0001373715-26-000007:ShareBasedCompensation|SEC:0001373715-26-000007:WeightedAverageNumberOfDilutedSharesOutstanding</x:v>
      </x:c>
    </x:row>
    <x:row r="6">
      <x:c r="A6" s="32" t="str">
        <x:v>NOW</x:v>
      </x:c>
      <x:c r="B6" s="32" t="str">
        <x:v>ServiceNow</x:v>
      </x:c>
      <x:c r="C6" s="32" t="n">
        <x:v>2024</x:v>
      </x:c>
      <x:c r="D6" s="32" t="str">
        <x:v>2024-12-31</x:v>
      </x:c>
      <x:c r="E6" s="35" t="n">
        <x:v>10984</x:v>
      </x:c>
      <x:c r="F6" s="37" t="n">
        <x:v>0.22438970014491133</x:v>
      </x:c>
      <x:c r="G6" s="37" t="n">
        <x:v>0.791788055353241</x:v>
      </x:c>
      <x:c r="H6" s="37" t="n">
        <x:v>0.12418062636562273</x:v>
      </x:c>
      <x:c r="I6" s="35" t="n">
        <x:v>3415</x:v>
      </x:c>
      <x:c r="J6" s="37" t="n">
        <x:v>0.3109067734887109</x:v>
      </x:c>
      <x:c r="K6" s="35" t="n">
        <x:v>1746</x:v>
      </x:c>
      <x:c r="L6" s="37" t="n">
        <x:v>0.15895848506919155</x:v>
      </x:c>
      <x:c r="M6" s="32" t="str">
        <x:v>SEC:0001373715-26-000007:GrossProfit|SEC:0001373715-26-000007:NetCashProvidedByUsedInOperatingActivities|SEC:0001373715-26-000007:OperatingIncomeLoss|SEC:0001373715-26-000007:PaymentsToAcquirePropertyPlantAndEquipment|SEC:0001373715-26-000007:RevenueFromContractWithCustomerExcludingAssessedTax|SEC:0001373715-26-000007:ShareBasedCompensation|SEC:0001373715-26-000007:WeightedAverageNumberOfDilutedSharesOutstanding</x:v>
      </x:c>
    </x:row>
    <x:row r="7">
      <x:c r="A7" s="33" t="str">
        <x:v>NOW</x:v>
      </x:c>
      <x:c r="B7" s="33" t="str">
        <x:v>ServiceNow</x:v>
      </x:c>
      <x:c r="C7" s="33" t="n">
        <x:v>2025</x:v>
      </x:c>
      <x:c r="D7" s="33" t="str">
        <x:v>2025-12-31</x:v>
      </x:c>
      <x:c r="E7" s="34" t="n">
        <x:v>13278</x:v>
      </x:c>
      <x:c r="F7" s="36" t="n">
        <x:v>0.20884923525127452</x:v>
      </x:c>
      <x:c r="G7" s="36" t="n">
        <x:v>0.7753426720891701</x:v>
      </x:c>
      <x:c r="H7" s="36" t="n">
        <x:v>0.13737008585630367</x:v>
      </x:c>
      <x:c r="I7" s="34" t="n">
        <x:v>4576</x:v>
      </x:c>
      <x:c r="J7" s="36" t="n">
        <x:v>0.3446302153938846</x:v>
      </x:c>
      <x:c r="K7" s="34" t="n">
        <x:v>1955</x:v>
      </x:c>
      <x:c r="L7" s="36" t="n">
        <x:v>0.14723602952251846</x:v>
      </x:c>
      <x:c r="M7" s="33" t="str">
        <x:v>SEC:0001373715-26-000007:GrossProfit|SEC:0001373715-26-000007:NetCashProvidedByUsedInOperatingActivities|SEC:0001373715-26-000007:OperatingIncomeLoss|SEC:0001373715-26-000007:PaymentsToAcquirePropertyPlantAndEquipment|SEC:0001373715-26-000007:RevenueFromContractWithCustomerExcludingAssessedTax|SEC:0001373715-26-000007:ShareBasedCompensation|SEC:0001373715-26-000007:WeightedAverageNumberOfDilutedSharesOutstanding</x:v>
      </x:c>
    </x:row>
    <x:row r="8">
      <x:c r="A8" s="32" t="str">
        <x:v>GTLB</x:v>
      </x:c>
      <x:c r="B8" s="32" t="str">
        <x:v>GitLab</x:v>
      </x:c>
      <x:c r="C8" s="32" t="n">
        <x:v>2024</x:v>
      </x:c>
      <x:c r="D8" s="32" t="str">
        <x:v>2024-01-31</x:v>
      </x:c>
      <x:c r="E8" s="35" t="n">
        <x:v>579.906</x:v>
      </x:c>
      <x:c r="F8" s="37"/>
      <x:c r="G8" s="37" t="n">
        <x:v>0.8970384855476577</x:v>
      </x:c>
      <x:c r="H8" s="37" t="n">
        <x:v>-0.32322479850182617</x:v>
      </x:c>
      <x:c r="I8" s="35" t="n">
        <x:v>33.442</x:v>
      </x:c>
      <x:c r="J8" s="37" t="n">
        <x:v>0.05766796687739048</x:v>
      </x:c>
      <x:c r="K8" s="35" t="n">
        <x:v>163.049</x:v>
      </x:c>
      <x:c r="L8" s="37" t="n">
        <x:v>0.281164533562336</x:v>
      </x:c>
      <x:c r="M8" s="32" t="str">
        <x:v>SEC:0001628280-26-018731:GrossProfit|SEC:0001628280-26-018731:NetCashProvidedByUsedInOperatingActivities|SEC:0001628280-26-018731:OperatingIncomeLoss|SEC:0001628280-26-018731:PaymentsToAcquirePropertyPlantAndEquipment|SEC:0001628280-26-018731:RevenueFromContractWithCustomerExcludingAssessedTax|SEC:0001628280-26-018731:ShareBasedCompensation|SEC:0001628280-26-018731:WeightedAverageNumberOfDilutedSharesOutstanding</x:v>
      </x:c>
    </x:row>
    <x:row r="9">
      <x:c r="A9" s="33" t="str">
        <x:v>GTLB</x:v>
      </x:c>
      <x:c r="B9" s="33" t="str">
        <x:v>GitLab</x:v>
      </x:c>
      <x:c r="C9" s="33" t="n">
        <x:v>2025</x:v>
      </x:c>
      <x:c r="D9" s="33" t="str">
        <x:v>2025-01-31</x:v>
      </x:c>
      <x:c r="E9" s="34" t="n">
        <x:v>759.249</x:v>
      </x:c>
      <x:c r="F9" s="36" t="n">
        <x:v>0.30926219076884887</x:v>
      </x:c>
      <x:c r="G9" s="36" t="n">
        <x:v>0.8878628750251893</x:v>
      </x:c>
      <x:c r="H9" s="36" t="n">
        <x:v>-0.18796863742988137</x:v>
      </x:c>
      <x:c r="I9" s="34" t="n">
        <x:v>-67.73599999999999</x:v>
      </x:c>
      <x:c r="J9" s="36" t="n">
        <x:v>-0.08921447377606027</x:v>
      </x:c>
      <x:c r="K9" s="34" t="n">
        <x:v>185.899</x:v>
      </x:c>
      <x:c r="L9" s="36" t="n">
        <x:v>0.2448458937713451</x:v>
      </x:c>
      <x:c r="M9" s="33" t="str">
        <x:v>SEC:0001628280-26-018731:GrossProfit|SEC:0001628280-26-018731:NetCashProvidedByUsedInOperatingActivities|SEC:0001628280-26-018731:OperatingIncomeLoss|SEC:0001628280-26-018731:PaymentsToAcquirePropertyPlantAndEquipment|SEC:0001628280-26-018731:RevenueFromContractWithCustomerExcludingAssessedTax|SEC:0001628280-26-018731:ShareBasedCompensation|SEC:0001628280-26-018731:WeightedAverageNumberOfDilutedSharesOutstanding</x:v>
      </x:c>
    </x:row>
    <x:row r="10">
      <x:c r="A10" s="32" t="str">
        <x:v>GTLB</x:v>
      </x:c>
      <x:c r="B10" s="32" t="str">
        <x:v>GitLab</x:v>
      </x:c>
      <x:c r="C10" s="32" t="n">
        <x:v>2026</x:v>
      </x:c>
      <x:c r="D10" s="32" t="str">
        <x:v>2026-01-31</x:v>
      </x:c>
      <x:c r="E10" s="35" t="n">
        <x:v>955.224</x:v>
      </x:c>
      <x:c r="F10" s="37" t="n">
        <x:v>0.2581169023600953</x:v>
      </x:c>
      <x:c r="G10" s="37" t="n">
        <x:v>0.8735971876753514</x:v>
      </x:c>
      <x:c r="H10" s="37" t="n">
        <x:v>-0.07378478765190154</x:v>
      </x:c>
      <x:c r="I10" s="35" t="n">
        <x:v>222.029</x:v>
      </x:c>
      <x:c r="J10" s="37" t="n">
        <x:v>0.23243658032042744</x:v>
      </x:c>
      <x:c r="K10" s="35" t="n">
        <x:v>214.951</x:v>
      </x:c>
      <x:c r="L10" s="37" t="n">
        <x:v>0.22502679999664998</x:v>
      </x:c>
      <x:c r="M10" s="32" t="str">
        <x:v>SEC:0001628280-26-018731:GrossProfit|SEC:0001628280-26-018731:NetCashProvidedByUsedInOperatingActivities|SEC:0001628280-26-018731:OperatingIncomeLoss|SEC:0001628280-26-018731:PaymentsToAcquirePropertyPlantAndEquipment|SEC:0001628280-26-018731:RevenueFromContractWithCustomerExcludingAssessedTax|SEC:0001628280-26-018731:ShareBasedCompensation|SEC:0001628280-26-018731:WeightedAverageNumberOfDilutedSharesOutstanding</x:v>
      </x:c>
    </x:row>
    <x:row r="11">
      <x:c r="A11" s="33" t="str">
        <x:v>PATH</x:v>
      </x:c>
      <x:c r="B11" s="33" t="str">
        <x:v>UiPath</x:v>
      </x:c>
      <x:c r="C11" s="33" t="n">
        <x:v>2024</x:v>
      </x:c>
      <x:c r="D11" s="33" t="str">
        <x:v>2024-01-31</x:v>
      </x:c>
      <x:c r="E11" s="34" t="n">
        <x:v>1308.072</x:v>
      </x:c>
      <x:c r="F11" s="36"/>
      <x:c r="G11" s="36" t="n">
        <x:v>0.8502192539860192</x:v>
      </x:c>
      <x:c r="H11" s="36" t="n">
        <x:v>-0.12592579001767487</x:v>
      </x:c>
      <x:c r="I11" s="34" t="n">
        <x:v>291.74</x:v>
      </x:c>
      <x:c r="J11" s="36" t="n">
        <x:v>0.22303053654538896</x:v>
      </x:c>
      <x:c r="K11" s="34" t="n">
        <x:v>371.955</x:v>
      </x:c>
      <x:c r="L11" s="36" t="n">
        <x:v>0.28435361356255623</x:v>
      </x:c>
      <x:c r="M11" s="33" t="str">
        <x:v>SEC:0001734722-26-000012:GrossProfit|SEC:0001734722-26-000012:NetCashProvidedByUsedInOperatingActivities|SEC:0001734722-26-000012:OperatingIncomeLoss|SEC:0001734722-26-000012:PaymentsToAcquirePropertyPlantAndEquipment|SEC:0001734722-26-000012:RevenueFromContractWithCustomerExcludingAssessedTax|SEC:0001734722-26-000012:ShareBasedCompensation|SEC:0001734722-26-000012:WeightedAverageNumberOfDilutedSharesOutstanding</x:v>
      </x:c>
    </x:row>
    <x:row r="12">
      <x:c r="A12" s="32" t="str">
        <x:v>PATH</x:v>
      </x:c>
      <x:c r="B12" s="32" t="str">
        <x:v>UiPath</x:v>
      </x:c>
      <x:c r="C12" s="32" t="n">
        <x:v>2025</x:v>
      </x:c>
      <x:c r="D12" s="32" t="str">
        <x:v>2025-01-31</x:v>
      </x:c>
      <x:c r="E12" s="35" t="n">
        <x:v>1429.664</x:v>
      </x:c>
      <x:c r="F12" s="37" t="n">
        <x:v>0.09295512785228954</x:v>
      </x:c>
      <x:c r="G12" s="37" t="n">
        <x:v>0.8272727018376346</x:v>
      </x:c>
      <x:c r="H12" s="37" t="n">
        <x:v>-0.11371133357208406</x:v>
      </x:c>
      <x:c r="I12" s="35" t="n">
        <x:v>305.642</x:v>
      </x:c>
      <x:c r="J12" s="37" t="n">
        <x:v>0.21378589654632138</x:v>
      </x:c>
      <x:c r="K12" s="35" t="n">
        <x:v>358.151</x:v>
      </x:c>
      <x:c r="L12" s="37" t="n">
        <x:v>0.25051410681111086</x:v>
      </x:c>
      <x:c r="M12" s="32" t="str">
        <x:v>SEC:0001734722-26-000012:GrossProfit|SEC:0001734722-26-000012:NetCashProvidedByUsedInOperatingActivities|SEC:0001734722-26-000012:OperatingIncomeLoss|SEC:0001734722-26-000012:PaymentsToAcquirePropertyPlantAndEquipment|SEC:0001734722-26-000012:RevenueFromContractWithCustomerExcludingAssessedTax|SEC:0001734722-26-000012:ShareBasedCompensation|SEC:0001734722-26-000012:WeightedAverageNumberOfDilutedSharesOutstanding</x:v>
      </x:c>
    </x:row>
    <x:row r="13">
      <x:c r="A13" s="33" t="str">
        <x:v>PATH</x:v>
      </x:c>
      <x:c r="B13" s="33" t="str">
        <x:v>UiPath</x:v>
      </x:c>
      <x:c r="C13" s="33" t="n">
        <x:v>2026</x:v>
      </x:c>
      <x:c r="D13" s="33" t="str">
        <x:v>2026-01-31</x:v>
      </x:c>
      <x:c r="E13" s="34" t="n">
        <x:v>1610.572</x:v>
      </x:c>
      <x:c r="F13" s="36" t="n">
        <x:v>0.12653882310808684</x:v>
      </x:c>
      <x:c r="G13" s="36" t="n">
        <x:v>0.8317467334586719</x:v>
      </x:c>
      <x:c r="H13" s="36" t="n">
        <x:v>0.0352421375759668</x:v>
      </x:c>
      <x:c r="I13" s="34" t="n">
        <x:v>352.16</x:v>
      </x:c>
      <x:c r="J13" s="36" t="n">
        <x:v>0.21865523553122745</x:v>
      </x:c>
      <x:c r="K13" s="34" t="n">
        <x:v>290.676</x:v>
      </x:c>
      <x:c r="L13" s="36" t="n">
        <x:v>0.18047997854178516</x:v>
      </x:c>
      <x:c r="M13" s="33" t="str">
        <x:v>SEC:0001734722-26-000012:GrossProfit|SEC:0001734722-26-000012:NetCashProvidedByUsedInOperatingActivities|SEC:0001734722-26-000012:OperatingIncomeLoss|SEC:0001734722-26-000012:PaymentsToAcquirePropertyPlantAndEquipment|SEC:0001734722-26-000012:RevenueFromContractWithCustomerExcludingAssessedTax|SEC:0001734722-26-000012:ShareBasedCompensation|SEC:0001734722-26-000012:WeightedAverageNumberOfDilutedSharesOutstanding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52" hidden="0" customWidth="1"/>
  </x:cols>
  <x:sheetData>
    <x:row r="1" ht="32" customHeight="1">
      <x:c r="A1" s="21" t="str">
        <x:v>LTM 实际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 ht="24" customHeight="1">
      <x:c r="A2" s="24" t="str">
        <x:v>截至各公司最近一个已披露季度；USD mm。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30" customHeight="1">
      <x:c r="A4" s="28" t="str">
        <x:v>Ticker</x:v>
      </x:c>
      <x:c r="B4" s="28" t="str">
        <x:v>公司</x:v>
      </x:c>
      <x:c r="C4" s="28" t="str">
        <x:v>截至</x:v>
      </x:c>
      <x:c r="D4" s="28" t="str">
        <x:v>收入</x:v>
      </x:c>
      <x:c r="E4" s="28" t="str">
        <x:v>毛利率</x:v>
      </x:c>
      <x:c r="F4" s="28" t="str">
        <x:v>营业利润率</x:v>
      </x:c>
      <x:c r="G4" s="28" t="str">
        <x:v>FCF</x:v>
      </x:c>
      <x:c r="H4" s="28" t="str">
        <x:v>FCF率</x:v>
      </x:c>
      <x:c r="I4" s="28" t="str">
        <x:v>SBC</x:v>
      </x:c>
      <x:c r="J4" s="28" t="str">
        <x:v>SBC/收入</x:v>
      </x:c>
      <x:c r="K4" s="28" t="str">
        <x:v>净现金</x:v>
      </x:c>
      <x:c r="L4" s="28" t="str">
        <x:v>稀释股数</x:v>
      </x:c>
      <x:c r="M4" s="28" t="str">
        <x:v>主要来源</x:v>
      </x:c>
      <x:c r="N4" s="28" t="str">
        <x:v>SEC 追溯</x:v>
      </x:c>
    </x:row>
    <x:row r="5">
      <x:c r="A5" s="33" t="str">
        <x:v>NOW</x:v>
      </x:c>
      <x:c r="B5" s="33" t="str">
        <x:v>ServiceNow</x:v>
      </x:c>
      <x:c r="C5" s="33" t="str">
        <x:v>2026-06-30</x:v>
      </x:c>
      <x:c r="D5" s="34" t="n">
        <x:v>14732</x:v>
      </x:c>
      <x:c r="E5" s="36" t="n">
        <x:v>0.7476920988324736</x:v>
      </x:c>
      <x:c r="F5" s="36" t="n">
        <x:v>0.11403746945424925</x:v>
      </x:c>
      <x:c r="G5" s="34" t="n">
        <x:v>4580</x:v>
      </x:c>
      <x:c r="H5" s="36" t="n">
        <x:v>0.31088786315503664</x:v>
      </x:c>
      <x:c r="I5" s="36" t="n">
        <x:v>2185</x:v>
      </x:c>
      <x:c r="J5" s="36" t="n">
        <x:v>0.14831658973662776</x:v>
      </x:c>
      <x:c r="K5" s="34" t="n">
        <x:v>-810</x:v>
      </x:c>
      <x:c r="L5" s="34" t="n">
        <x:v>1040</x:v>
      </x:c>
      <x:c r="M5" s="33" t="str">
        <x:v>S01</x:v>
      </x:c>
      <x:c r="N5" s="33" t="str">
        <x:v>SEC:0001373715-26-000007:GrossProfit|SEC:0001373715-26-000007:NetCashProvidedByUsedInOperatingActivities|SEC:0001373715-26-000007:OperatingIncomeLoss|SEC:0001373715-26-000007:PaymentsToAcquirePropertyPlantAndEquipment|SEC:0001373715-26-000007:RevenueFromContractWithCustomerExcludingAssessedTax|SEC:0001373715-26-000007:ShareBasedCompensation|SEC:0001373715-26-000007:WeightedAverageNumberOfDilutedSharesOutstanding|SEC:0001373715-26-000076:GrossProfit|SEC:0001373715-26-000076:NetCashProvidedByUsedInOperatingActivities|SEC:0001373715-26-000076:OperatingIncomeLoss|SEC:0001373715-26-000076:PaymentsToAcquirePropertyPlantAndEquipment|SEC:0001373715-26-000076:RevenueFromContractWithCustomerExcludingAssessedTax|SEC:0001373715-26-000076:ShareBasedCompensation|SEC:0001373715-26-000076:WeightedAverageNumberOfDilutedSharesOutstanding</x:v>
      </x:c>
    </x:row>
    <x:row r="6">
      <x:c r="A6" s="32" t="str">
        <x:v>GTLB</x:v>
      </x:c>
      <x:c r="B6" s="32" t="str">
        <x:v>GitLab</x:v>
      </x:c>
      <x:c r="C6" s="32" t="str">
        <x:v>2026-04-30</x:v>
      </x:c>
      <x:c r="D6" s="35" t="n">
        <x:v>1004.873</x:v>
      </x:c>
      <x:c r="E6" s="37" t="n">
        <x:v>0.8674499165566197</x:v>
      </x:c>
      <x:c r="F6" s="37" t="n">
        <x:v>-0.05136967557094278</x:v>
      </x:c>
      <x:c r="G6" s="35" t="n">
        <x:v>263.443</x:v>
      </x:c>
      <x:c r="H6" s="37" t="n">
        <x:v>0.26216546767601473</x:v>
      </x:c>
      <x:c r="I6" s="37" t="n">
        <x:v>209.185</x:v>
      </x:c>
      <x:c r="J6" s="37" t="n">
        <x:v>0.20817058474055924</x:v>
      </x:c>
      <x:c r="K6" s="35" t="n">
        <x:v>1357.512</x:v>
      </x:c>
      <x:c r="L6" s="35" t="n">
        <x:v>169.948</x:v>
      </x:c>
      <x:c r="M6" s="32" t="str">
        <x:v>S02</x:v>
      </x:c>
      <x:c r="N6" s="32" t="str">
        <x:v>SEC:0001628280-26-018731:GrossProfit|SEC:0001628280-26-018731:NetCashProvidedByUsedInOperatingActivities|SEC:0001628280-26-018731:OperatingIncomeLoss|SEC:0001628280-26-018731:PaymentsToAcquirePropertyPlantAndEquipment|SEC:0001628280-26-018731:RevenueFromContractWithCustomerExcludingAssessedTax|SEC:0001628280-26-018731:ShareBasedCompensation|SEC:0001628280-26-018731:WeightedAverageNumberOfDilutedSharesOutstanding|SEC:0001628280-26-039793:GrossProfit|SEC:0001628280-26-039793:NetCashProvidedByUsedInOperatingActivities|SEC:0001628280-26-039793:OperatingIncomeLoss|SEC:0001628280-26-039793:PaymentsToAcquirePropertyPlantAndEquipment|SEC:0001628280-26-039793:RevenueFromContractWithCustomerExcludingAssessedTax|SEC:0001628280-26-039793:ShareBasedCompensation|SEC:0001628280-26-039793:WeightedAverageNumberOfDilutedSharesOutstanding</x:v>
      </x:c>
    </x:row>
    <x:row r="7">
      <x:c r="A7" s="33" t="str">
        <x:v>PATH</x:v>
      </x:c>
      <x:c r="B7" s="33" t="str">
        <x:v>UiPath</x:v>
      </x:c>
      <x:c r="C7" s="33" t="str">
        <x:v>2026-04-30</x:v>
      </x:c>
      <x:c r="D7" s="34" t="n">
        <x:v>1672.33</x:v>
      </x:c>
      <x:c r="E7" s="36" t="n">
        <x:v>0.8301441701099663</x:v>
      </x:c>
      <x:c r="F7" s="36" t="n">
        <x:v>0.06048985547110917</x:v>
      </x:c>
      <x:c r="G7" s="34" t="n">
        <x:v>375.23400000000004</x:v>
      </x:c>
      <x:c r="H7" s="36" t="n">
        <x:v>0.22437796367941737</x:v>
      </x:c>
      <x:c r="I7" s="36" t="n">
        <x:v>267.625</x:v>
      </x:c>
      <x:c r="J7" s="36" t="n">
        <x:v>0.1600312139350487</x:v>
      </x:c>
      <x:c r="K7" s="34" t="n">
        <x:v>1415.746</x:v>
      </x:c>
      <x:c r="L7" s="34" t="n">
        <x:v>527.818</x:v>
      </x:c>
      <x:c r="M7" s="33" t="str">
        <x:v>S03</x:v>
      </x:c>
      <x:c r="N7" s="33" t="str">
        <x:v>SEC:0001734722-26-000012:GrossProfit|SEC:0001734722-26-000012:NetCashProvidedByUsedInOperatingActivities|SEC:0001734722-26-000012:OperatingIncomeLoss|SEC:0001734722-26-000012:PaymentsToAcquirePropertyPlantAndEquipment|SEC:0001734722-26-000012:RevenueFromContractWithCustomerExcludingAssessedTax|SEC:0001734722-26-000012:ShareBasedCompensation|SEC:0001734722-26-000012:WeightedAverageNumberOfDilutedSharesOutstanding|SEC:0001734722-26-000041:GrossProfit|SEC:0001734722-26-000041:NetCashProvidedByUsedInOperatingActivities|SEC:0001734722-26-000041:OperatingIncomeLoss|SEC:0001734722-26-000041:PaymentsToAcquirePropertyPlantAndEquipment|SEC:0001734722-26-000041:RevenueFromContractWithCustomerExcludingAssessedTax|SEC:0001734722-26-000041:ShareBasedCompensation|SEC:0001734722-26-000041:WeightedAverageNumberOfDilutedSharesOutstanding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32" hidden="0" customWidth="1"/>
  </x:cols>
  <x:sheetData>
    <x:row r="1" ht="32" customHeight="1">
      <x:c r="A1" s="21" t="str">
        <x:v>预测假设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ht="24" customHeight="1">
      <x:c r="A2" s="24" t="str">
        <x:v>全部为作者假设；管理层指引仅用于锚定，详见来源列。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0" customHeight="1">
      <x:c r="A4" s="28" t="str">
        <x:v>Ticker</x:v>
      </x:c>
      <x:c r="B4" s="28" t="str">
        <x:v>情景</x:v>
      </x:c>
      <x:c r="C4" s="28" t="str">
        <x:v>财年</x:v>
      </x:c>
      <x:c r="D4" s="28" t="str">
        <x:v>收入增长</x:v>
      </x:c>
      <x:c r="E4" s="28" t="str">
        <x:v>毛利率</x:v>
      </x:c>
      <x:c r="F4" s="28" t="str">
        <x:v>营业利润率</x:v>
      </x:c>
      <x:c r="G4" s="28" t="str">
        <x:v>FCF率</x:v>
      </x:c>
      <x:c r="H4" s="28" t="str">
        <x:v>EV/Sales</x:v>
      </x:c>
      <x:c r="I4" s="28" t="str">
        <x:v>股数变化</x:v>
      </x:c>
      <x:c r="J4" s="28" t="str">
        <x:v>来源类型</x:v>
      </x:c>
      <x:c r="K4" s="28" t="str">
        <x:v>来源</x:v>
      </x:c>
    </x:row>
    <x:row r="5">
      <x:c r="A5" s="33" t="str">
        <x:v>NOW</x:v>
      </x:c>
      <x:c r="B5" s="33" t="str">
        <x:v>Bear</x:v>
      </x:c>
      <x:c r="C5" s="33" t="n">
        <x:v>2026</x:v>
      </x:c>
      <x:c r="D5" s="42" t="n">
        <x:v>0.16</x:v>
      </x:c>
      <x:c r="E5" s="42" t="n">
        <x:v>0.735</x:v>
      </x:c>
      <x:c r="F5" s="42" t="n">
        <x:v>0.09</x:v>
      </x:c>
      <x:c r="G5" s="42" t="n">
        <x:v>0.31</x:v>
      </x:c>
      <x:c r="H5" s="43" t="n">
        <x:v>4.5</x:v>
      </x:c>
      <x:c r="I5" s="42" t="n">
        <x:v>0.01</x:v>
      </x:c>
      <x:c r="J5" s="33" t="str">
        <x:v>Author assumption</x:v>
      </x:c>
      <x:c r="K5" s="33" t="str">
        <x:v>S01/S02/S03；详见报告</x:v>
      </x:c>
    </x:row>
    <x:row r="6">
      <x:c r="A6" s="32" t="str">
        <x:v>NOW</x:v>
      </x:c>
      <x:c r="B6" s="32" t="str">
        <x:v>Bear</x:v>
      </x:c>
      <x:c r="C6" s="32" t="n">
        <x:v>2027</x:v>
      </x:c>
      <x:c r="D6" s="42" t="n">
        <x:v>0.15</x:v>
      </x:c>
      <x:c r="E6" s="42" t="n">
        <x:v>0.73</x:v>
      </x:c>
      <x:c r="F6" s="42" t="n">
        <x:v>0.08</x:v>
      </x:c>
      <x:c r="G6" s="42" t="n">
        <x:v>0.3</x:v>
      </x:c>
      <x:c r="H6" s="43" t="n">
        <x:v>4.5</x:v>
      </x:c>
      <x:c r="I6" s="42" t="n">
        <x:v>0.01</x:v>
      </x:c>
      <x:c r="J6" s="32" t="str">
        <x:v>Author assumption</x:v>
      </x:c>
      <x:c r="K6" s="32" t="str">
        <x:v>S01/S02/S03；详见报告</x:v>
      </x:c>
    </x:row>
    <x:row r="7">
      <x:c r="A7" s="33" t="str">
        <x:v>NOW</x:v>
      </x:c>
      <x:c r="B7" s="33" t="str">
        <x:v>Bear</x:v>
      </x:c>
      <x:c r="C7" s="33" t="n">
        <x:v>2028</x:v>
      </x:c>
      <x:c r="D7" s="42" t="n">
        <x:v>0.13</x:v>
      </x:c>
      <x:c r="E7" s="42" t="n">
        <x:v>0.735</x:v>
      </x:c>
      <x:c r="F7" s="42" t="n">
        <x:v>0.1</x:v>
      </x:c>
      <x:c r="G7" s="42" t="n">
        <x:v>0.31</x:v>
      </x:c>
      <x:c r="H7" s="43" t="n">
        <x:v>4.5</x:v>
      </x:c>
      <x:c r="I7" s="42" t="n">
        <x:v>0.01</x:v>
      </x:c>
      <x:c r="J7" s="33" t="str">
        <x:v>Author assumption</x:v>
      </x:c>
      <x:c r="K7" s="33" t="str">
        <x:v>S01/S02/S03；详见报告</x:v>
      </x:c>
    </x:row>
    <x:row r="8">
      <x:c r="A8" s="32" t="str">
        <x:v>NOW</x:v>
      </x:c>
      <x:c r="B8" s="32" t="str">
        <x:v>Bear</x:v>
      </x:c>
      <x:c r="C8" s="32" t="n">
        <x:v>2029</x:v>
      </x:c>
      <x:c r="D8" s="42" t="n">
        <x:v>0.11</x:v>
      </x:c>
      <x:c r="E8" s="42" t="n">
        <x:v>0.74</x:v>
      </x:c>
      <x:c r="F8" s="42" t="n">
        <x:v>0.12</x:v>
      </x:c>
      <x:c r="G8" s="42" t="n">
        <x:v>0.32</x:v>
      </x:c>
      <x:c r="H8" s="43" t="n">
        <x:v>4.5</x:v>
      </x:c>
      <x:c r="I8" s="42" t="n">
        <x:v>0.01</x:v>
      </x:c>
      <x:c r="J8" s="32" t="str">
        <x:v>Author assumption</x:v>
      </x:c>
      <x:c r="K8" s="32" t="str">
        <x:v>S01/S02/S03；详见报告</x:v>
      </x:c>
    </x:row>
    <x:row r="9">
      <x:c r="A9" s="33" t="str">
        <x:v>NOW</x:v>
      </x:c>
      <x:c r="B9" s="33" t="str">
        <x:v>Base</x:v>
      </x:c>
      <x:c r="C9" s="33" t="n">
        <x:v>2026</x:v>
      </x:c>
      <x:c r="D9" s="42" t="n">
        <x:v>0.22</x:v>
      </x:c>
      <x:c r="E9" s="42" t="n">
        <x:v>0.75</x:v>
      </x:c>
      <x:c r="F9" s="42" t="n">
        <x:v>0.13</x:v>
      </x:c>
      <x:c r="G9" s="42" t="n">
        <x:v>0.33</x:v>
      </x:c>
      <x:c r="H9" s="43" t="n">
        <x:v>7</x:v>
      </x:c>
      <x:c r="I9" s="42" t="n">
        <x:v>0.01</x:v>
      </x:c>
      <x:c r="J9" s="33" t="str">
        <x:v>Author assumption</x:v>
      </x:c>
      <x:c r="K9" s="33" t="str">
        <x:v>S01/S02/S03；详见报告</x:v>
      </x:c>
    </x:row>
    <x:row r="10">
      <x:c r="A10" s="32" t="str">
        <x:v>NOW</x:v>
      </x:c>
      <x:c r="B10" s="32" t="str">
        <x:v>Base</x:v>
      </x:c>
      <x:c r="C10" s="32" t="n">
        <x:v>2027</x:v>
      </x:c>
      <x:c r="D10" s="42" t="n">
        <x:v>0.19</x:v>
      </x:c>
      <x:c r="E10" s="42" t="n">
        <x:v>0.755</x:v>
      </x:c>
      <x:c r="F10" s="42" t="n">
        <x:v>0.14</x:v>
      </x:c>
      <x:c r="G10" s="42" t="n">
        <x:v>0.34</x:v>
      </x:c>
      <x:c r="H10" s="43" t="n">
        <x:v>7</x:v>
      </x:c>
      <x:c r="I10" s="42" t="n">
        <x:v>0.01</x:v>
      </x:c>
      <x:c r="J10" s="32" t="str">
        <x:v>Author assumption</x:v>
      </x:c>
      <x:c r="K10" s="32" t="str">
        <x:v>S01/S02/S03；详见报告</x:v>
      </x:c>
    </x:row>
    <x:row r="11">
      <x:c r="A11" s="33" t="str">
        <x:v>NOW</x:v>
      </x:c>
      <x:c r="B11" s="33" t="str">
        <x:v>Base</x:v>
      </x:c>
      <x:c r="C11" s="33" t="n">
        <x:v>2028</x:v>
      </x:c>
      <x:c r="D11" s="42" t="n">
        <x:v>0.17</x:v>
      </x:c>
      <x:c r="E11" s="42" t="n">
        <x:v>0.765</x:v>
      </x:c>
      <x:c r="F11" s="42" t="n">
        <x:v>0.16</x:v>
      </x:c>
      <x:c r="G11" s="42" t="n">
        <x:v>0.35</x:v>
      </x:c>
      <x:c r="H11" s="43" t="n">
        <x:v>7</x:v>
      </x:c>
      <x:c r="I11" s="42" t="n">
        <x:v>0.01</x:v>
      </x:c>
      <x:c r="J11" s="33" t="str">
        <x:v>Author assumption</x:v>
      </x:c>
      <x:c r="K11" s="33" t="str">
        <x:v>S01/S02/S03；详见报告</x:v>
      </x:c>
    </x:row>
    <x:row r="12">
      <x:c r="A12" s="32" t="str">
        <x:v>NOW</x:v>
      </x:c>
      <x:c r="B12" s="32" t="str">
        <x:v>Base</x:v>
      </x:c>
      <x:c r="C12" s="32" t="n">
        <x:v>2029</x:v>
      </x:c>
      <x:c r="D12" s="42" t="n">
        <x:v>0.15</x:v>
      </x:c>
      <x:c r="E12" s="42" t="n">
        <x:v>0.775</x:v>
      </x:c>
      <x:c r="F12" s="42" t="n">
        <x:v>0.18</x:v>
      </x:c>
      <x:c r="G12" s="42" t="n">
        <x:v>0.36</x:v>
      </x:c>
      <x:c r="H12" s="43" t="n">
        <x:v>7</x:v>
      </x:c>
      <x:c r="I12" s="42" t="n">
        <x:v>0.01</x:v>
      </x:c>
      <x:c r="J12" s="32" t="str">
        <x:v>Author assumption</x:v>
      </x:c>
      <x:c r="K12" s="32" t="str">
        <x:v>S01/S02/S03；详见报告</x:v>
      </x:c>
    </x:row>
    <x:row r="13">
      <x:c r="A13" s="33" t="str">
        <x:v>NOW</x:v>
      </x:c>
      <x:c r="B13" s="33" t="str">
        <x:v>Bull</x:v>
      </x:c>
      <x:c r="C13" s="33" t="n">
        <x:v>2026</x:v>
      </x:c>
      <x:c r="D13" s="42" t="n">
        <x:v>0.25</x:v>
      </x:c>
      <x:c r="E13" s="42" t="n">
        <x:v>0.765</x:v>
      </x:c>
      <x:c r="F13" s="42" t="n">
        <x:v>0.15</x:v>
      </x:c>
      <x:c r="G13" s="42" t="n">
        <x:v>0.35</x:v>
      </x:c>
      <x:c r="H13" s="43" t="n">
        <x:v>9</x:v>
      </x:c>
      <x:c r="I13" s="42" t="n">
        <x:v>0.01</x:v>
      </x:c>
      <x:c r="J13" s="33" t="str">
        <x:v>Author assumption</x:v>
      </x:c>
      <x:c r="K13" s="33" t="str">
        <x:v>S01/S02/S03；详见报告</x:v>
      </x:c>
    </x:row>
    <x:row r="14">
      <x:c r="A14" s="32" t="str">
        <x:v>NOW</x:v>
      </x:c>
      <x:c r="B14" s="32" t="str">
        <x:v>Bull</x:v>
      </x:c>
      <x:c r="C14" s="32" t="n">
        <x:v>2027</x:v>
      </x:c>
      <x:c r="D14" s="42" t="n">
        <x:v>0.22</x:v>
      </x:c>
      <x:c r="E14" s="42" t="n">
        <x:v>0.77</x:v>
      </x:c>
      <x:c r="F14" s="42" t="n">
        <x:v>0.17</x:v>
      </x:c>
      <x:c r="G14" s="42" t="n">
        <x:v>0.36</x:v>
      </x:c>
      <x:c r="H14" s="43" t="n">
        <x:v>9</x:v>
      </x:c>
      <x:c r="I14" s="42" t="n">
        <x:v>0.01</x:v>
      </x:c>
      <x:c r="J14" s="32" t="str">
        <x:v>Author assumption</x:v>
      </x:c>
      <x:c r="K14" s="32" t="str">
        <x:v>S01/S02/S03；详见报告</x:v>
      </x:c>
    </x:row>
    <x:row r="15">
      <x:c r="A15" s="33" t="str">
        <x:v>NOW</x:v>
      </x:c>
      <x:c r="B15" s="33" t="str">
        <x:v>Bull</x:v>
      </x:c>
      <x:c r="C15" s="33" t="n">
        <x:v>2028</x:v>
      </x:c>
      <x:c r="D15" s="42" t="n">
        <x:v>0.2</x:v>
      </x:c>
      <x:c r="E15" s="42" t="n">
        <x:v>0.78</x:v>
      </x:c>
      <x:c r="F15" s="42" t="n">
        <x:v>0.2</x:v>
      </x:c>
      <x:c r="G15" s="42" t="n">
        <x:v>0.38</x:v>
      </x:c>
      <x:c r="H15" s="43" t="n">
        <x:v>9</x:v>
      </x:c>
      <x:c r="I15" s="42" t="n">
        <x:v>0.01</x:v>
      </x:c>
      <x:c r="J15" s="33" t="str">
        <x:v>Author assumption</x:v>
      </x:c>
      <x:c r="K15" s="33" t="str">
        <x:v>S01/S02/S03；详见报告</x:v>
      </x:c>
    </x:row>
    <x:row r="16">
      <x:c r="A16" s="32" t="str">
        <x:v>NOW</x:v>
      </x:c>
      <x:c r="B16" s="32" t="str">
        <x:v>Bull</x:v>
      </x:c>
      <x:c r="C16" s="32" t="n">
        <x:v>2029</x:v>
      </x:c>
      <x:c r="D16" s="42" t="n">
        <x:v>0.18</x:v>
      </x:c>
      <x:c r="E16" s="42" t="n">
        <x:v>0.79</x:v>
      </x:c>
      <x:c r="F16" s="42" t="n">
        <x:v>0.22</x:v>
      </x:c>
      <x:c r="G16" s="42" t="n">
        <x:v>0.39</x:v>
      </x:c>
      <x:c r="H16" s="43" t="n">
        <x:v>9</x:v>
      </x:c>
      <x:c r="I16" s="42" t="n">
        <x:v>0.01</x:v>
      </x:c>
      <x:c r="J16" s="32" t="str">
        <x:v>Author assumption</x:v>
      </x:c>
      <x:c r="K16" s="32" t="str">
        <x:v>S01/S02/S03；详见报告</x:v>
      </x:c>
    </x:row>
    <x:row r="17">
      <x:c r="A17" s="33" t="str">
        <x:v>GTLB</x:v>
      </x:c>
      <x:c r="B17" s="33" t="str">
        <x:v>Bear</x:v>
      </x:c>
      <x:c r="C17" s="33" t="n">
        <x:v>2027</x:v>
      </x:c>
      <x:c r="D17" s="42" t="n">
        <x:v>0.14</x:v>
      </x:c>
      <x:c r="E17" s="42" t="n">
        <x:v>0.845</x:v>
      </x:c>
      <x:c r="F17" s="42" t="n">
        <x:v>-0.07</x:v>
      </x:c>
      <x:c r="G17" s="42" t="n">
        <x:v>0.14</x:v>
      </x:c>
      <x:c r="H17" s="43" t="n">
        <x:v>3.5</x:v>
      </x:c>
      <x:c r="I17" s="42" t="n">
        <x:v>0.01</x:v>
      </x:c>
      <x:c r="J17" s="33" t="str">
        <x:v>Author assumption</x:v>
      </x:c>
      <x:c r="K17" s="33" t="str">
        <x:v>S01/S02/S03；详见报告</x:v>
      </x:c>
    </x:row>
    <x:row r="18">
      <x:c r="A18" s="32" t="str">
        <x:v>GTLB</x:v>
      </x:c>
      <x:c r="B18" s="32" t="str">
        <x:v>Bear</x:v>
      </x:c>
      <x:c r="C18" s="32" t="n">
        <x:v>2028</x:v>
      </x:c>
      <x:c r="D18" s="42" t="n">
        <x:v>0.14</x:v>
      </x:c>
      <x:c r="E18" s="42" t="n">
        <x:v>0.84</x:v>
      </x:c>
      <x:c r="F18" s="42" t="n">
        <x:v>-0.03</x:v>
      </x:c>
      <x:c r="G18" s="42" t="n">
        <x:v>0.16</x:v>
      </x:c>
      <x:c r="H18" s="43" t="n">
        <x:v>3.5</x:v>
      </x:c>
      <x:c r="I18" s="42" t="n">
        <x:v>0.01</x:v>
      </x:c>
      <x:c r="J18" s="32" t="str">
        <x:v>Author assumption</x:v>
      </x:c>
      <x:c r="K18" s="32" t="str">
        <x:v>S01/S02/S03；详见报告</x:v>
      </x:c>
    </x:row>
    <x:row r="19">
      <x:c r="A19" s="33" t="str">
        <x:v>GTLB</x:v>
      </x:c>
      <x:c r="B19" s="33" t="str">
        <x:v>Bear</x:v>
      </x:c>
      <x:c r="C19" s="33" t="n">
        <x:v>2029</x:v>
      </x:c>
      <x:c r="D19" s="42" t="n">
        <x:v>0.13</x:v>
      </x:c>
      <x:c r="E19" s="42" t="n">
        <x:v>0.84</x:v>
      </x:c>
      <x:c r="F19" s="42" t="n">
        <x:v>0.02</x:v>
      </x:c>
      <x:c r="G19" s="42" t="n">
        <x:v>0.18</x:v>
      </x:c>
      <x:c r="H19" s="43" t="n">
        <x:v>3.5</x:v>
      </x:c>
      <x:c r="I19" s="42" t="n">
        <x:v>0.01</x:v>
      </x:c>
      <x:c r="J19" s="33" t="str">
        <x:v>Author assumption</x:v>
      </x:c>
      <x:c r="K19" s="33" t="str">
        <x:v>S01/S02/S03；详见报告</x:v>
      </x:c>
    </x:row>
    <x:row r="20">
      <x:c r="A20" s="32" t="str">
        <x:v>GTLB</x:v>
      </x:c>
      <x:c r="B20" s="32" t="str">
        <x:v>Base</x:v>
      </x:c>
      <x:c r="C20" s="32" t="n">
        <x:v>2027</x:v>
      </x:c>
      <x:c r="D20" s="42" t="n">
        <x:v>0.167</x:v>
      </x:c>
      <x:c r="E20" s="42" t="n">
        <x:v>0.86</x:v>
      </x:c>
      <x:c r="F20" s="42" t="n">
        <x:v>-0.02</x:v>
      </x:c>
      <x:c r="G20" s="42" t="n">
        <x:v>0.2</x:v>
      </x:c>
      <x:c r="H20" s="43" t="n">
        <x:v>5.5</x:v>
      </x:c>
      <x:c r="I20" s="42" t="n">
        <x:v>0.01</x:v>
      </x:c>
      <x:c r="J20" s="32" t="str">
        <x:v>Author assumption</x:v>
      </x:c>
      <x:c r="K20" s="32" t="str">
        <x:v>S01/S02/S03；详见报告</x:v>
      </x:c>
    </x:row>
    <x:row r="21">
      <x:c r="A21" s="33" t="str">
        <x:v>GTLB</x:v>
      </x:c>
      <x:c r="B21" s="33" t="str">
        <x:v>Base</x:v>
      </x:c>
      <x:c r="C21" s="33" t="n">
        <x:v>2028</x:v>
      </x:c>
      <x:c r="D21" s="42" t="n">
        <x:v>0.21</x:v>
      </x:c>
      <x:c r="E21" s="42" t="n">
        <x:v>0.86</x:v>
      </x:c>
      <x:c r="F21" s="42" t="n">
        <x:v>0.05</x:v>
      </x:c>
      <x:c r="G21" s="42" t="n">
        <x:v>0.22</x:v>
      </x:c>
      <x:c r="H21" s="43" t="n">
        <x:v>5.5</x:v>
      </x:c>
      <x:c r="I21" s="42" t="n">
        <x:v>0.01</x:v>
      </x:c>
      <x:c r="J21" s="33" t="str">
        <x:v>Author assumption</x:v>
      </x:c>
      <x:c r="K21" s="33" t="str">
        <x:v>S01/S02/S03；详见报告</x:v>
      </x:c>
    </x:row>
    <x:row r="22">
      <x:c r="A22" s="32" t="str">
        <x:v>GTLB</x:v>
      </x:c>
      <x:c r="B22" s="32" t="str">
        <x:v>Base</x:v>
      </x:c>
      <x:c r="C22" s="32" t="n">
        <x:v>2029</x:v>
      </x:c>
      <x:c r="D22" s="42" t="n">
        <x:v>0.185</x:v>
      </x:c>
      <x:c r="E22" s="42" t="n">
        <x:v>0.865</x:v>
      </x:c>
      <x:c r="F22" s="42" t="n">
        <x:v>0.1</x:v>
      </x:c>
      <x:c r="G22" s="42" t="n">
        <x:v>0.24</x:v>
      </x:c>
      <x:c r="H22" s="43" t="n">
        <x:v>5.5</x:v>
      </x:c>
      <x:c r="I22" s="42" t="n">
        <x:v>0.01</x:v>
      </x:c>
      <x:c r="J22" s="32" t="str">
        <x:v>Author assumption</x:v>
      </x:c>
      <x:c r="K22" s="32" t="str">
        <x:v>S01/S02/S03；详见报告</x:v>
      </x:c>
    </x:row>
    <x:row r="23">
      <x:c r="A23" s="33" t="str">
        <x:v>GTLB</x:v>
      </x:c>
      <x:c r="B23" s="33" t="str">
        <x:v>Bull</x:v>
      </x:c>
      <x:c r="C23" s="33" t="n">
        <x:v>2027</x:v>
      </x:c>
      <x:c r="D23" s="42" t="n">
        <x:v>0.19</x:v>
      </x:c>
      <x:c r="E23" s="42" t="n">
        <x:v>0.87</x:v>
      </x:c>
      <x:c r="F23" s="42" t="n">
        <x:v>0.02</x:v>
      </x:c>
      <x:c r="G23" s="42" t="n">
        <x:v>0.24</x:v>
      </x:c>
      <x:c r="H23" s="43" t="n">
        <x:v>8</x:v>
      </x:c>
      <x:c r="I23" s="42" t="n">
        <x:v>0.01</x:v>
      </x:c>
      <x:c r="J23" s="33" t="str">
        <x:v>Author assumption</x:v>
      </x:c>
      <x:c r="K23" s="33" t="str">
        <x:v>S01/S02/S03；详见报告</x:v>
      </x:c>
    </x:row>
    <x:row r="24">
      <x:c r="A24" s="32" t="str">
        <x:v>GTLB</x:v>
      </x:c>
      <x:c r="B24" s="32" t="str">
        <x:v>Bull</x:v>
      </x:c>
      <x:c r="C24" s="32" t="n">
        <x:v>2028</x:v>
      </x:c>
      <x:c r="D24" s="42" t="n">
        <x:v>0.25</x:v>
      </x:c>
      <x:c r="E24" s="42" t="n">
        <x:v>0.88</x:v>
      </x:c>
      <x:c r="F24" s="42" t="n">
        <x:v>0.1</x:v>
      </x:c>
      <x:c r="G24" s="42" t="n">
        <x:v>0.27</x:v>
      </x:c>
      <x:c r="H24" s="43" t="n">
        <x:v>8</x:v>
      </x:c>
      <x:c r="I24" s="42" t="n">
        <x:v>0.01</x:v>
      </x:c>
      <x:c r="J24" s="32" t="str">
        <x:v>Author assumption</x:v>
      </x:c>
      <x:c r="K24" s="32" t="str">
        <x:v>S01/S02/S03；详见报告</x:v>
      </x:c>
    </x:row>
    <x:row r="25">
      <x:c r="A25" s="33" t="str">
        <x:v>GTLB</x:v>
      </x:c>
      <x:c r="B25" s="33" t="str">
        <x:v>Bull</x:v>
      </x:c>
      <x:c r="C25" s="33" t="n">
        <x:v>2029</x:v>
      </x:c>
      <x:c r="D25" s="42" t="n">
        <x:v>0.25</x:v>
      </x:c>
      <x:c r="E25" s="42" t="n">
        <x:v>0.89</x:v>
      </x:c>
      <x:c r="F25" s="42" t="n">
        <x:v>0.16</x:v>
      </x:c>
      <x:c r="G25" s="42" t="n">
        <x:v>0.3</x:v>
      </x:c>
      <x:c r="H25" s="43" t="n">
        <x:v>8</x:v>
      </x:c>
      <x:c r="I25" s="42" t="n">
        <x:v>0.01</x:v>
      </x:c>
      <x:c r="J25" s="33" t="str">
        <x:v>Author assumption</x:v>
      </x:c>
      <x:c r="K25" s="33" t="str">
        <x:v>S01/S02/S03；详见报告</x:v>
      </x:c>
    </x:row>
    <x:row r="26">
      <x:c r="A26" s="32" t="str">
        <x:v>PATH</x:v>
      </x:c>
      <x:c r="B26" s="32" t="str">
        <x:v>Bear</x:v>
      </x:c>
      <x:c r="C26" s="32" t="n">
        <x:v>2027</x:v>
      </x:c>
      <x:c r="D26" s="42" t="n">
        <x:v>0.08</x:v>
      </x:c>
      <x:c r="E26" s="42" t="n">
        <x:v>0.8</x:v>
      </x:c>
      <x:c r="F26" s="42" t="n">
        <x:v>0</x:v>
      </x:c>
      <x:c r="G26" s="42" t="n">
        <x:v>0.15</x:v>
      </x:c>
      <x:c r="H26" s="43" t="n">
        <x:v>2</x:v>
      </x:c>
      <x:c r="I26" s="42" t="n">
        <x:v>-0.01</x:v>
      </x:c>
      <x:c r="J26" s="32" t="str">
        <x:v>Author assumption</x:v>
      </x:c>
      <x:c r="K26" s="32" t="str">
        <x:v>S01/S02/S03；详见报告</x:v>
      </x:c>
    </x:row>
    <x:row r="27">
      <x:c r="A27" s="33" t="str">
        <x:v>PATH</x:v>
      </x:c>
      <x:c r="B27" s="33" t="str">
        <x:v>Bear</x:v>
      </x:c>
      <x:c r="C27" s="33" t="n">
        <x:v>2028</x:v>
      </x:c>
      <x:c r="D27" s="42" t="n">
        <x:v>0.05</x:v>
      </x:c>
      <x:c r="E27" s="42" t="n">
        <x:v>0.795</x:v>
      </x:c>
      <x:c r="F27" s="42" t="n">
        <x:v>-0.02</x:v>
      </x:c>
      <x:c r="G27" s="42" t="n">
        <x:v>0.14</x:v>
      </x:c>
      <x:c r="H27" s="43" t="n">
        <x:v>2</x:v>
      </x:c>
      <x:c r="I27" s="42" t="n">
        <x:v>-0.01</x:v>
      </x:c>
      <x:c r="J27" s="33" t="str">
        <x:v>Author assumption</x:v>
      </x:c>
      <x:c r="K27" s="33" t="str">
        <x:v>S01/S02/S03；详见报告</x:v>
      </x:c>
    </x:row>
    <x:row r="28">
      <x:c r="A28" s="32" t="str">
        <x:v>PATH</x:v>
      </x:c>
      <x:c r="B28" s="32" t="str">
        <x:v>Bear</x:v>
      </x:c>
      <x:c r="C28" s="32" t="n">
        <x:v>2029</x:v>
      </x:c>
      <x:c r="D28" s="42" t="n">
        <x:v>0.04</x:v>
      </x:c>
      <x:c r="E28" s="42" t="n">
        <x:v>0.79</x:v>
      </x:c>
      <x:c r="F28" s="42" t="n">
        <x:v>-0.03</x:v>
      </x:c>
      <x:c r="G28" s="42" t="n">
        <x:v>0.13</x:v>
      </x:c>
      <x:c r="H28" s="43" t="n">
        <x:v>2</x:v>
      </x:c>
      <x:c r="I28" s="42" t="n">
        <x:v>-0.01</x:v>
      </x:c>
      <x:c r="J28" s="32" t="str">
        <x:v>Author assumption</x:v>
      </x:c>
      <x:c r="K28" s="32" t="str">
        <x:v>S01/S02/S03；详见报告</x:v>
      </x:c>
    </x:row>
    <x:row r="29">
      <x:c r="A29" s="33" t="str">
        <x:v>PATH</x:v>
      </x:c>
      <x:c r="B29" s="33" t="str">
        <x:v>Base</x:v>
      </x:c>
      <x:c r="C29" s="33" t="n">
        <x:v>2027</x:v>
      </x:c>
      <x:c r="D29" s="42" t="n">
        <x:v>0.104</x:v>
      </x:c>
      <x:c r="E29" s="42" t="n">
        <x:v>0.83</x:v>
      </x:c>
      <x:c r="F29" s="42" t="n">
        <x:v>0.06</x:v>
      </x:c>
      <x:c r="G29" s="42" t="n">
        <x:v>0.22</x:v>
      </x:c>
      <x:c r="H29" s="43" t="n">
        <x:v>3</x:v>
      </x:c>
      <x:c r="I29" s="42" t="n">
        <x:v>-0.01</x:v>
      </x:c>
      <x:c r="J29" s="33" t="str">
        <x:v>Author assumption</x:v>
      </x:c>
      <x:c r="K29" s="33" t="str">
        <x:v>S01/S02/S03；详见报告</x:v>
      </x:c>
    </x:row>
    <x:row r="30">
      <x:c r="A30" s="32" t="str">
        <x:v>PATH</x:v>
      </x:c>
      <x:c r="B30" s="32" t="str">
        <x:v>Base</x:v>
      </x:c>
      <x:c r="C30" s="32" t="n">
        <x:v>2028</x:v>
      </x:c>
      <x:c r="D30" s="42" t="n">
        <x:v>0.1</x:v>
      </x:c>
      <x:c r="E30" s="42" t="n">
        <x:v>0.83</x:v>
      </x:c>
      <x:c r="F30" s="42" t="n">
        <x:v>0.09</x:v>
      </x:c>
      <x:c r="G30" s="42" t="n">
        <x:v>0.23</x:v>
      </x:c>
      <x:c r="H30" s="43" t="n">
        <x:v>3</x:v>
      </x:c>
      <x:c r="I30" s="42" t="n">
        <x:v>-0.01</x:v>
      </x:c>
      <x:c r="J30" s="32" t="str">
        <x:v>Author assumption</x:v>
      </x:c>
      <x:c r="K30" s="32" t="str">
        <x:v>S01/S02/S03；详见报告</x:v>
      </x:c>
    </x:row>
    <x:row r="31">
      <x:c r="A31" s="33" t="str">
        <x:v>PATH</x:v>
      </x:c>
      <x:c r="B31" s="33" t="str">
        <x:v>Base</x:v>
      </x:c>
      <x:c r="C31" s="33" t="n">
        <x:v>2029</x:v>
      </x:c>
      <x:c r="D31" s="42" t="n">
        <x:v>0.09</x:v>
      </x:c>
      <x:c r="E31" s="42" t="n">
        <x:v>0.83</x:v>
      </x:c>
      <x:c r="F31" s="42" t="n">
        <x:v>0.12</x:v>
      </x:c>
      <x:c r="G31" s="42" t="n">
        <x:v>0.24</x:v>
      </x:c>
      <x:c r="H31" s="43" t="n">
        <x:v>3</x:v>
      </x:c>
      <x:c r="I31" s="42" t="n">
        <x:v>-0.01</x:v>
      </x:c>
      <x:c r="J31" s="33" t="str">
        <x:v>Author assumption</x:v>
      </x:c>
      <x:c r="K31" s="33" t="str">
        <x:v>S01/S02/S03；详见报告</x:v>
      </x:c>
    </x:row>
    <x:row r="32">
      <x:c r="A32" s="32" t="str">
        <x:v>PATH</x:v>
      </x:c>
      <x:c r="B32" s="32" t="str">
        <x:v>Bull</x:v>
      </x:c>
      <x:c r="C32" s="32" t="n">
        <x:v>2027</x:v>
      </x:c>
      <x:c r="D32" s="42" t="n">
        <x:v>0.13</x:v>
      </x:c>
      <x:c r="E32" s="42" t="n">
        <x:v>0.84</x:v>
      </x:c>
      <x:c r="F32" s="42" t="n">
        <x:v>0.09</x:v>
      </x:c>
      <x:c r="G32" s="42" t="n">
        <x:v>0.25</x:v>
      </x:c>
      <x:c r="H32" s="43" t="n">
        <x:v>5</x:v>
      </x:c>
      <x:c r="I32" s="42" t="n">
        <x:v>-0.01</x:v>
      </x:c>
      <x:c r="J32" s="32" t="str">
        <x:v>Author assumption</x:v>
      </x:c>
      <x:c r="K32" s="32" t="str">
        <x:v>S01/S02/S03；详见报告</x:v>
      </x:c>
    </x:row>
    <x:row r="33">
      <x:c r="A33" s="33" t="str">
        <x:v>PATH</x:v>
      </x:c>
      <x:c r="B33" s="33" t="str">
        <x:v>Bull</x:v>
      </x:c>
      <x:c r="C33" s="33" t="n">
        <x:v>2028</x:v>
      </x:c>
      <x:c r="D33" s="42" t="n">
        <x:v>0.18</x:v>
      </x:c>
      <x:c r="E33" s="42" t="n">
        <x:v>0.85</x:v>
      </x:c>
      <x:c r="F33" s="42" t="n">
        <x:v>0.14</x:v>
      </x:c>
      <x:c r="G33" s="42" t="n">
        <x:v>0.28</x:v>
      </x:c>
      <x:c r="H33" s="43" t="n">
        <x:v>5</x:v>
      </x:c>
      <x:c r="I33" s="42" t="n">
        <x:v>-0.01</x:v>
      </x:c>
      <x:c r="J33" s="33" t="str">
        <x:v>Author assumption</x:v>
      </x:c>
      <x:c r="K33" s="33" t="str">
        <x:v>S01/S02/S03；详见报告</x:v>
      </x:c>
    </x:row>
    <x:row r="34">
      <x:c r="A34" s="32" t="str">
        <x:v>PATH</x:v>
      </x:c>
      <x:c r="B34" s="32" t="str">
        <x:v>Bull</x:v>
      </x:c>
      <x:c r="C34" s="32" t="n">
        <x:v>2029</x:v>
      </x:c>
      <x:c r="D34" s="42" t="n">
        <x:v>0.16</x:v>
      </x:c>
      <x:c r="E34" s="42" t="n">
        <x:v>0.86</x:v>
      </x:c>
      <x:c r="F34" s="42" t="n">
        <x:v>0.18</x:v>
      </x:c>
      <x:c r="G34" s="42" t="n">
        <x:v>0.3</x:v>
      </x:c>
      <x:c r="H34" s="43" t="n">
        <x:v>5</x:v>
      </x:c>
      <x:c r="I34" s="42" t="n">
        <x:v>-0.01</x:v>
      </x:c>
      <x:c r="J34" s="32" t="str">
        <x:v>Author assumption</x:v>
      </x:c>
      <x:c r="K34" s="32" t="str">
        <x:v>S01/S02/S03；详见报告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</x:cols>
  <x:sheetData>
    <x:row r="1" ht="32" customHeight="1">
      <x:c r="A1" s="21" t="str">
        <x:v>三情景预测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</x:row>
    <x:row r="2" ht="24" customHeight="1">
      <x:c r="A2" s="24" t="str">
        <x:v>绿色为公式；首年收入基数来自年度实际，后续年度滚动。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4" ht="30" customHeight="1">
      <x:c r="A4" s="28" t="str">
        <x:v>Ticker</x:v>
      </x:c>
      <x:c r="B4" s="28" t="str">
        <x:v>情景</x:v>
      </x:c>
      <x:c r="C4" s="28" t="str">
        <x:v>财年</x:v>
      </x:c>
      <x:c r="D4" s="28" t="str">
        <x:v>期初收入</x:v>
      </x:c>
      <x:c r="E4" s="28" t="str">
        <x:v>增长</x:v>
      </x:c>
      <x:c r="F4" s="28" t="str">
        <x:v>收入</x:v>
      </x:c>
      <x:c r="G4" s="28" t="str">
        <x:v>毛利率</x:v>
      </x:c>
      <x:c r="H4" s="28" t="str">
        <x:v>毛利</x:v>
      </x:c>
      <x:c r="I4" s="28" t="str">
        <x:v>营业利润率</x:v>
      </x:c>
      <x:c r="J4" s="28" t="str">
        <x:v>营业利润</x:v>
      </x:c>
      <x:c r="K4" s="28" t="str">
        <x:v>FCF率</x:v>
      </x:c>
      <x:c r="L4" s="28" t="str">
        <x:v>FCF</x:v>
      </x:c>
      <x:c r="M4" s="28" t="str">
        <x:v>稀释股数</x:v>
      </x:c>
      <x:c r="N4" s="28" t="str">
        <x:v>收入桥</x:v>
      </x:c>
      <x:c r="O4" s="28" t="str">
        <x:v>毛利桥</x:v>
      </x:c>
      <x:c r="P4" s="28" t="str">
        <x:v>营业利润桥</x:v>
      </x:c>
      <x:c r="Q4" s="28" t="str">
        <x:v>FCF桥</x:v>
      </x:c>
    </x:row>
    <x:row r="5">
      <x:c r="A5" s="33" t="str">
        <x:v>NOW</x:v>
      </x:c>
      <x:c r="B5" s="33" t="str">
        <x:v>Bear</x:v>
      </x:c>
      <x:c r="C5" s="33" t="n">
        <x:v>2026</x:v>
      </x:c>
      <x:c r="D5" s="46" t="n">
        <x:f>13278</x:f>
        <x:v>13278</x:v>
      </x:c>
      <x:c r="E5" s="48" t="n">
        <x:f>'预测假设'!D5</x:f>
        <x:v>0.16</x:v>
      </x:c>
      <x:c r="F5" s="46" t="n">
        <x:f>D5*(1+E5)</x:f>
        <x:v>15402.48</x:v>
      </x:c>
      <x:c r="G5" s="48" t="n">
        <x:f>'预测假设'!E5</x:f>
        <x:v>0.735</x:v>
      </x:c>
      <x:c r="H5" s="46" t="n">
        <x:f>F5*G5</x:f>
        <x:v>11320.8228</x:v>
      </x:c>
      <x:c r="I5" s="48" t="n">
        <x:f>'预测假设'!F5</x:f>
        <x:v>0.09</x:v>
      </x:c>
      <x:c r="J5" s="46" t="n">
        <x:f>F5*I5</x:f>
        <x:v>1386.2232</x:v>
      </x:c>
      <x:c r="K5" s="48" t="n">
        <x:f>'预测假设'!G5</x:f>
        <x:v>0.31</x:v>
      </x:c>
      <x:c r="L5" s="46" t="n">
        <x:f>F5*K5</x:f>
        <x:v>4774.7688</x:v>
      </x:c>
      <x:c r="M5" s="46" t="n">
        <x:f>1040*(1+'预测假设'!I5)^(2026-2025)</x:f>
        <x:v>1050.4</x:v>
      </x:c>
      <x:c r="N5" s="47" t="n">
        <x:f>F5-D5*(1+E5)</x:f>
        <x:v>0</x:v>
      </x:c>
      <x:c r="O5" s="47" t="n">
        <x:f>H5-F5*G5</x:f>
        <x:v>0</x:v>
      </x:c>
      <x:c r="P5" s="47" t="n">
        <x:f>J5-F5*I5</x:f>
        <x:v>0</x:v>
      </x:c>
      <x:c r="Q5" s="47" t="n">
        <x:f>L5-F5*K5</x:f>
        <x:v>0</x:v>
      </x:c>
    </x:row>
    <x:row r="6">
      <x:c r="A6" s="32" t="str">
        <x:v>NOW</x:v>
      </x:c>
      <x:c r="B6" s="32" t="str">
        <x:v>Bear</x:v>
      </x:c>
      <x:c r="C6" s="32" t="n">
        <x:v>2027</x:v>
      </x:c>
      <x:c r="D6" s="46" t="n">
        <x:f>F5</x:f>
        <x:v>15402.48</x:v>
      </x:c>
      <x:c r="E6" s="48" t="n">
        <x:f>'预测假设'!D6</x:f>
        <x:v>0.15</x:v>
      </x:c>
      <x:c r="F6" s="46" t="n">
        <x:f>D6*(1+E6)</x:f>
        <x:v>17712.852</x:v>
      </x:c>
      <x:c r="G6" s="48" t="n">
        <x:f>'预测假设'!E6</x:f>
        <x:v>0.73</x:v>
      </x:c>
      <x:c r="H6" s="46" t="n">
        <x:f>F6*G6</x:f>
        <x:v>12930.381959999999</x:v>
      </x:c>
      <x:c r="I6" s="48" t="n">
        <x:f>'预测假设'!F6</x:f>
        <x:v>0.08</x:v>
      </x:c>
      <x:c r="J6" s="46" t="n">
        <x:f>F6*I6</x:f>
        <x:v>1417.0281599999998</x:v>
      </x:c>
      <x:c r="K6" s="48" t="n">
        <x:f>'预测假设'!G6</x:f>
        <x:v>0.3</x:v>
      </x:c>
      <x:c r="L6" s="46" t="n">
        <x:f>F6*K6</x:f>
        <x:v>5313.8556</x:v>
      </x:c>
      <x:c r="M6" s="46" t="n">
        <x:f>1040*(1+'预测假设'!I6)^(2027-2025)</x:f>
        <x:v>1060.904</x:v>
      </x:c>
      <x:c r="N6" s="47" t="n">
        <x:f>F6-D6*(1+E6)</x:f>
        <x:v>0</x:v>
      </x:c>
      <x:c r="O6" s="47" t="n">
        <x:f>H6-F6*G6</x:f>
        <x:v>0</x:v>
      </x:c>
      <x:c r="P6" s="47" t="n">
        <x:f>J6-F6*I6</x:f>
        <x:v>0</x:v>
      </x:c>
      <x:c r="Q6" s="47" t="n">
        <x:f>L6-F6*K6</x:f>
        <x:v>0</x:v>
      </x:c>
    </x:row>
    <x:row r="7">
      <x:c r="A7" s="33" t="str">
        <x:v>NOW</x:v>
      </x:c>
      <x:c r="B7" s="33" t="str">
        <x:v>Bear</x:v>
      </x:c>
      <x:c r="C7" s="33" t="n">
        <x:v>2028</x:v>
      </x:c>
      <x:c r="D7" s="46" t="n">
        <x:f>F6</x:f>
        <x:v>17712.852</x:v>
      </x:c>
      <x:c r="E7" s="48" t="n">
        <x:f>'预测假设'!D7</x:f>
        <x:v>0.13</x:v>
      </x:c>
      <x:c r="F7" s="46" t="n">
        <x:f>D7*(1+E7)</x:f>
        <x:v>20015.522759999996</x:v>
      </x:c>
      <x:c r="G7" s="48" t="n">
        <x:f>'预测假设'!E7</x:f>
        <x:v>0.735</x:v>
      </x:c>
      <x:c r="H7" s="46" t="n">
        <x:f>F7*G7</x:f>
        <x:v>14711.409228599998</x:v>
      </x:c>
      <x:c r="I7" s="48" t="n">
        <x:f>'预测假设'!F7</x:f>
        <x:v>0.1</x:v>
      </x:c>
      <x:c r="J7" s="46" t="n">
        <x:f>F7*I7</x:f>
        <x:v>2001.5522759999997</x:v>
      </x:c>
      <x:c r="K7" s="48" t="n">
        <x:f>'预测假设'!G7</x:f>
        <x:v>0.31</x:v>
      </x:c>
      <x:c r="L7" s="46" t="n">
        <x:f>F7*K7</x:f>
        <x:v>6204.8120555999985</x:v>
      </x:c>
      <x:c r="M7" s="46" t="n">
        <x:f>1040*(1+'预测假设'!I7)^(2028-2025)</x:f>
        <x:v>1071.51304</x:v>
      </x:c>
      <x:c r="N7" s="47" t="n">
        <x:f>F7-D7*(1+E7)</x:f>
        <x:v>0</x:v>
      </x:c>
      <x:c r="O7" s="47" t="n">
        <x:f>H7-F7*G7</x:f>
        <x:v>0</x:v>
      </x:c>
      <x:c r="P7" s="47" t="n">
        <x:f>J7-F7*I7</x:f>
        <x:v>0</x:v>
      </x:c>
      <x:c r="Q7" s="47" t="n">
        <x:f>L7-F7*K7</x:f>
        <x:v>0</x:v>
      </x:c>
    </x:row>
    <x:row r="8">
      <x:c r="A8" s="32" t="str">
        <x:v>NOW</x:v>
      </x:c>
      <x:c r="B8" s="32" t="str">
        <x:v>Bear</x:v>
      </x:c>
      <x:c r="C8" s="32" t="n">
        <x:v>2029</x:v>
      </x:c>
      <x:c r="D8" s="46" t="n">
        <x:f>F7</x:f>
        <x:v>20015.522759999996</x:v>
      </x:c>
      <x:c r="E8" s="48" t="n">
        <x:f>'预测假设'!D8</x:f>
        <x:v>0.11</x:v>
      </x:c>
      <x:c r="F8" s="46" t="n">
        <x:f>D8*(1+E8)</x:f>
        <x:v>22217.2302636</x:v>
      </x:c>
      <x:c r="G8" s="48" t="n">
        <x:f>'预测假设'!E8</x:f>
        <x:v>0.74</x:v>
      </x:c>
      <x:c r="H8" s="46" t="n">
        <x:f>F8*G8</x:f>
        <x:v>16440.750395064</x:v>
      </x:c>
      <x:c r="I8" s="48" t="n">
        <x:f>'预测假设'!F8</x:f>
        <x:v>0.12</x:v>
      </x:c>
      <x:c r="J8" s="46" t="n">
        <x:f>F8*I8</x:f>
        <x:v>2666.0676316319996</x:v>
      </x:c>
      <x:c r="K8" s="48" t="n">
        <x:f>'预测假设'!G8</x:f>
        <x:v>0.32</x:v>
      </x:c>
      <x:c r="L8" s="46" t="n">
        <x:f>F8*K8</x:f>
        <x:v>7109.5136843519995</x:v>
      </x:c>
      <x:c r="M8" s="46" t="n">
        <x:f>1040*(1+'预测假设'!I8)^(2029-2025)</x:f>
        <x:v>1082.2281704</x:v>
      </x:c>
      <x:c r="N8" s="47" t="n">
        <x:f>F8-D8*(1+E8)</x:f>
        <x:v>0</x:v>
      </x:c>
      <x:c r="O8" s="47" t="n">
        <x:f>H8-F8*G8</x:f>
        <x:v>0</x:v>
      </x:c>
      <x:c r="P8" s="47" t="n">
        <x:f>J8-F8*I8</x:f>
        <x:v>0</x:v>
      </x:c>
      <x:c r="Q8" s="47" t="n">
        <x:f>L8-F8*K8</x:f>
        <x:v>0</x:v>
      </x:c>
    </x:row>
    <x:row r="9">
      <x:c r="A9" s="33" t="str">
        <x:v>NOW</x:v>
      </x:c>
      <x:c r="B9" s="33" t="str">
        <x:v>Base</x:v>
      </x:c>
      <x:c r="C9" s="33" t="n">
        <x:v>2026</x:v>
      </x:c>
      <x:c r="D9" s="46" t="n">
        <x:f>13278</x:f>
        <x:v>13278</x:v>
      </x:c>
      <x:c r="E9" s="48" t="n">
        <x:f>'预测假设'!D9</x:f>
        <x:v>0.22</x:v>
      </x:c>
      <x:c r="F9" s="46" t="n">
        <x:f>D9*(1+E9)</x:f>
        <x:v>16199.16</x:v>
      </x:c>
      <x:c r="G9" s="48" t="n">
        <x:f>'预测假设'!E9</x:f>
        <x:v>0.75</x:v>
      </x:c>
      <x:c r="H9" s="46" t="n">
        <x:f>F9*G9</x:f>
        <x:v>12149.369999999999</x:v>
      </x:c>
      <x:c r="I9" s="48" t="n">
        <x:f>'预测假设'!F9</x:f>
        <x:v>0.13</x:v>
      </x:c>
      <x:c r="J9" s="46" t="n">
        <x:f>F9*I9</x:f>
        <x:v>2105.8908</x:v>
      </x:c>
      <x:c r="K9" s="48" t="n">
        <x:f>'预测假设'!G9</x:f>
        <x:v>0.33</x:v>
      </x:c>
      <x:c r="L9" s="46" t="n">
        <x:f>F9*K9</x:f>
        <x:v>5345.7228000000005</x:v>
      </x:c>
      <x:c r="M9" s="46" t="n">
        <x:f>1040*(1+'预测假设'!I9)^(2026-2025)</x:f>
        <x:v>1050.4</x:v>
      </x:c>
      <x:c r="N9" s="47" t="n">
        <x:f>F9-D9*(1+E9)</x:f>
        <x:v>0</x:v>
      </x:c>
      <x:c r="O9" s="47" t="n">
        <x:f>H9-F9*G9</x:f>
        <x:v>0</x:v>
      </x:c>
      <x:c r="P9" s="47" t="n">
        <x:f>J9-F9*I9</x:f>
        <x:v>0</x:v>
      </x:c>
      <x:c r="Q9" s="47" t="n">
        <x:f>L9-F9*K9</x:f>
        <x:v>0</x:v>
      </x:c>
    </x:row>
    <x:row r="10">
      <x:c r="A10" s="32" t="str">
        <x:v>NOW</x:v>
      </x:c>
      <x:c r="B10" s="32" t="str">
        <x:v>Base</x:v>
      </x:c>
      <x:c r="C10" s="32" t="n">
        <x:v>2027</x:v>
      </x:c>
      <x:c r="D10" s="46" t="n">
        <x:f>F9</x:f>
        <x:v>16199.16</x:v>
      </x:c>
      <x:c r="E10" s="48" t="n">
        <x:f>'预测假设'!D10</x:f>
        <x:v>0.19</x:v>
      </x:c>
      <x:c r="F10" s="46" t="n">
        <x:f>D10*(1+E10)</x:f>
        <x:v>19277.000399999997</x:v>
      </x:c>
      <x:c r="G10" s="48" t="n">
        <x:f>'预测假设'!E10</x:f>
        <x:v>0.755</x:v>
      </x:c>
      <x:c r="H10" s="46" t="n">
        <x:f>F10*G10</x:f>
        <x:v>14554.135301999999</x:v>
      </x:c>
      <x:c r="I10" s="48" t="n">
        <x:f>'预测假设'!F10</x:f>
        <x:v>0.14</x:v>
      </x:c>
      <x:c r="J10" s="46" t="n">
        <x:f>F10*I10</x:f>
        <x:v>2698.780056</x:v>
      </x:c>
      <x:c r="K10" s="48" t="n">
        <x:f>'预测假设'!G10</x:f>
        <x:v>0.34</x:v>
      </x:c>
      <x:c r="L10" s="46" t="n">
        <x:f>F10*K10</x:f>
        <x:v>6554.180136</x:v>
      </x:c>
      <x:c r="M10" s="46" t="n">
        <x:f>1040*(1+'预测假设'!I10)^(2027-2025)</x:f>
        <x:v>1060.904</x:v>
      </x:c>
      <x:c r="N10" s="47" t="n">
        <x:f>F10-D10*(1+E10)</x:f>
        <x:v>0</x:v>
      </x:c>
      <x:c r="O10" s="47" t="n">
        <x:f>H10-F10*G10</x:f>
        <x:v>0</x:v>
      </x:c>
      <x:c r="P10" s="47" t="n">
        <x:f>J10-F10*I10</x:f>
        <x:v>0</x:v>
      </x:c>
      <x:c r="Q10" s="47" t="n">
        <x:f>L10-F10*K10</x:f>
        <x:v>0</x:v>
      </x:c>
    </x:row>
    <x:row r="11">
      <x:c r="A11" s="33" t="str">
        <x:v>NOW</x:v>
      </x:c>
      <x:c r="B11" s="33" t="str">
        <x:v>Base</x:v>
      </x:c>
      <x:c r="C11" s="33" t="n">
        <x:v>2028</x:v>
      </x:c>
      <x:c r="D11" s="46" t="n">
        <x:f>F10</x:f>
        <x:v>19277.000399999997</x:v>
      </x:c>
      <x:c r="E11" s="48" t="n">
        <x:f>'预测假设'!D11</x:f>
        <x:v>0.17</x:v>
      </x:c>
      <x:c r="F11" s="46" t="n">
        <x:f>D11*(1+E11)</x:f>
        <x:v>22554.090467999995</x:v>
      </x:c>
      <x:c r="G11" s="48" t="n">
        <x:f>'预测假设'!E11</x:f>
        <x:v>0.765</x:v>
      </x:c>
      <x:c r="H11" s="46" t="n">
        <x:f>F11*G11</x:f>
        <x:v>17253.879208019996</x:v>
      </x:c>
      <x:c r="I11" s="48" t="n">
        <x:f>'预测假设'!F11</x:f>
        <x:v>0.16</x:v>
      </x:c>
      <x:c r="J11" s="46" t="n">
        <x:f>F11*I11</x:f>
        <x:v>3608.6544748799993</x:v>
      </x:c>
      <x:c r="K11" s="48" t="n">
        <x:f>'预测假设'!G11</x:f>
        <x:v>0.35</x:v>
      </x:c>
      <x:c r="L11" s="46" t="n">
        <x:f>F11*K11</x:f>
        <x:v>7893.931663799997</x:v>
      </x:c>
      <x:c r="M11" s="46" t="n">
        <x:f>1040*(1+'预测假设'!I11)^(2028-2025)</x:f>
        <x:v>1071.51304</x:v>
      </x:c>
      <x:c r="N11" s="47" t="n">
        <x:f>F11-D11*(1+E11)</x:f>
        <x:v>0</x:v>
      </x:c>
      <x:c r="O11" s="47" t="n">
        <x:f>H11-F11*G11</x:f>
        <x:v>0</x:v>
      </x:c>
      <x:c r="P11" s="47" t="n">
        <x:f>J11-F11*I11</x:f>
        <x:v>0</x:v>
      </x:c>
      <x:c r="Q11" s="47" t="n">
        <x:f>L11-F11*K11</x:f>
        <x:v>0</x:v>
      </x:c>
    </x:row>
    <x:row r="12">
      <x:c r="A12" s="32" t="str">
        <x:v>NOW</x:v>
      </x:c>
      <x:c r="B12" s="32" t="str">
        <x:v>Base</x:v>
      </x:c>
      <x:c r="C12" s="32" t="n">
        <x:v>2029</x:v>
      </x:c>
      <x:c r="D12" s="46" t="n">
        <x:f>F11</x:f>
        <x:v>22554.090467999995</x:v>
      </x:c>
      <x:c r="E12" s="48" t="n">
        <x:f>'预测假设'!D12</x:f>
        <x:v>0.15</x:v>
      </x:c>
      <x:c r="F12" s="46" t="n">
        <x:f>D12*(1+E12)</x:f>
        <x:v>25937.20403819999</x:v>
      </x:c>
      <x:c r="G12" s="48" t="n">
        <x:f>'预测假设'!E12</x:f>
        <x:v>0.775</x:v>
      </x:c>
      <x:c r="H12" s="46" t="n">
        <x:f>F12*G12</x:f>
        <x:v>20101.333129604995</x:v>
      </x:c>
      <x:c r="I12" s="48" t="n">
        <x:f>'预测假设'!F12</x:f>
        <x:v>0.18</x:v>
      </x:c>
      <x:c r="J12" s="46" t="n">
        <x:f>F12*I12</x:f>
        <x:v>4668.696726875998</x:v>
      </x:c>
      <x:c r="K12" s="48" t="n">
        <x:f>'预测假设'!G12</x:f>
        <x:v>0.36</x:v>
      </x:c>
      <x:c r="L12" s="46" t="n">
        <x:f>F12*K12</x:f>
        <x:v>9337.393453751996</x:v>
      </x:c>
      <x:c r="M12" s="46" t="n">
        <x:f>1040*(1+'预测假设'!I12)^(2029-2025)</x:f>
        <x:v>1082.2281704</x:v>
      </x:c>
      <x:c r="N12" s="47" t="n">
        <x:f>F12-D12*(1+E12)</x:f>
        <x:v>0</x:v>
      </x:c>
      <x:c r="O12" s="47" t="n">
        <x:f>H12-F12*G12</x:f>
        <x:v>0</x:v>
      </x:c>
      <x:c r="P12" s="47" t="n">
        <x:f>J12-F12*I12</x:f>
        <x:v>0</x:v>
      </x:c>
      <x:c r="Q12" s="47" t="n">
        <x:f>L12-F12*K12</x:f>
        <x:v>0</x:v>
      </x:c>
    </x:row>
    <x:row r="13">
      <x:c r="A13" s="33" t="str">
        <x:v>NOW</x:v>
      </x:c>
      <x:c r="B13" s="33" t="str">
        <x:v>Bull</x:v>
      </x:c>
      <x:c r="C13" s="33" t="n">
        <x:v>2026</x:v>
      </x:c>
      <x:c r="D13" s="46" t="n">
        <x:f>13278</x:f>
        <x:v>13278</x:v>
      </x:c>
      <x:c r="E13" s="48" t="n">
        <x:f>'预测假设'!D13</x:f>
        <x:v>0.25</x:v>
      </x:c>
      <x:c r="F13" s="46" t="n">
        <x:f>D13*(1+E13)</x:f>
        <x:v>16597.5</x:v>
      </x:c>
      <x:c r="G13" s="48" t="n">
        <x:f>'预测假设'!E13</x:f>
        <x:v>0.765</x:v>
      </x:c>
      <x:c r="H13" s="46" t="n">
        <x:f>F13*G13</x:f>
        <x:v>12697.0875</x:v>
      </x:c>
      <x:c r="I13" s="48" t="n">
        <x:f>'预测假设'!F13</x:f>
        <x:v>0.15</x:v>
      </x:c>
      <x:c r="J13" s="46" t="n">
        <x:f>F13*I13</x:f>
        <x:v>2489.625</x:v>
      </x:c>
      <x:c r="K13" s="48" t="n">
        <x:f>'预测假设'!G13</x:f>
        <x:v>0.35</x:v>
      </x:c>
      <x:c r="L13" s="46" t="n">
        <x:f>F13*K13</x:f>
        <x:v>5809.125</x:v>
      </x:c>
      <x:c r="M13" s="46" t="n">
        <x:f>1040*(1+'预测假设'!I13)^(2026-2025)</x:f>
        <x:v>1050.4</x:v>
      </x:c>
      <x:c r="N13" s="47" t="n">
        <x:f>F13-D13*(1+E13)</x:f>
        <x:v>0</x:v>
      </x:c>
      <x:c r="O13" s="47" t="n">
        <x:f>H13-F13*G13</x:f>
        <x:v>0</x:v>
      </x:c>
      <x:c r="P13" s="47" t="n">
        <x:f>J13-F13*I13</x:f>
        <x:v>0</x:v>
      </x:c>
      <x:c r="Q13" s="47" t="n">
        <x:f>L13-F13*K13</x:f>
        <x:v>0</x:v>
      </x:c>
    </x:row>
    <x:row r="14">
      <x:c r="A14" s="32" t="str">
        <x:v>NOW</x:v>
      </x:c>
      <x:c r="B14" s="32" t="str">
        <x:v>Bull</x:v>
      </x:c>
      <x:c r="C14" s="32" t="n">
        <x:v>2027</x:v>
      </x:c>
      <x:c r="D14" s="46" t="n">
        <x:f>F13</x:f>
        <x:v>16597.5</x:v>
      </x:c>
      <x:c r="E14" s="48" t="n">
        <x:f>'预测假设'!D14</x:f>
        <x:v>0.22</x:v>
      </x:c>
      <x:c r="F14" s="46" t="n">
        <x:f>D14*(1+E14)</x:f>
        <x:v>20248.95</x:v>
      </x:c>
      <x:c r="G14" s="48" t="n">
        <x:f>'预测假设'!E14</x:f>
        <x:v>0.77</x:v>
      </x:c>
      <x:c r="H14" s="46" t="n">
        <x:f>F14*G14</x:f>
        <x:v>15591.6915</x:v>
      </x:c>
      <x:c r="I14" s="48" t="n">
        <x:f>'预测假设'!F14</x:f>
        <x:v>0.17</x:v>
      </x:c>
      <x:c r="J14" s="46" t="n">
        <x:f>F14*I14</x:f>
        <x:v>3442.3215000000005</x:v>
      </x:c>
      <x:c r="K14" s="48" t="n">
        <x:f>'预测假设'!G14</x:f>
        <x:v>0.36</x:v>
      </x:c>
      <x:c r="L14" s="46" t="n">
        <x:f>F14*K14</x:f>
        <x:v>7289.622</x:v>
      </x:c>
      <x:c r="M14" s="46" t="n">
        <x:f>1040*(1+'预测假设'!I14)^(2027-2025)</x:f>
        <x:v>1060.904</x:v>
      </x:c>
      <x:c r="N14" s="47" t="n">
        <x:f>F14-D14*(1+E14)</x:f>
        <x:v>0</x:v>
      </x:c>
      <x:c r="O14" s="47" t="n">
        <x:f>H14-F14*G14</x:f>
        <x:v>0</x:v>
      </x:c>
      <x:c r="P14" s="47" t="n">
        <x:f>J14-F14*I14</x:f>
        <x:v>0</x:v>
      </x:c>
      <x:c r="Q14" s="47" t="n">
        <x:f>L14-F14*K14</x:f>
        <x:v>0</x:v>
      </x:c>
    </x:row>
    <x:row r="15">
      <x:c r="A15" s="33" t="str">
        <x:v>NOW</x:v>
      </x:c>
      <x:c r="B15" s="33" t="str">
        <x:v>Bull</x:v>
      </x:c>
      <x:c r="C15" s="33" t="n">
        <x:v>2028</x:v>
      </x:c>
      <x:c r="D15" s="46" t="n">
        <x:f>F14</x:f>
        <x:v>20248.95</x:v>
      </x:c>
      <x:c r="E15" s="48" t="n">
        <x:f>'预测假设'!D15</x:f>
        <x:v>0.2</x:v>
      </x:c>
      <x:c r="F15" s="46" t="n">
        <x:f>D15*(1+E15)</x:f>
        <x:v>24298.74</x:v>
      </x:c>
      <x:c r="G15" s="48" t="n">
        <x:f>'预测假设'!E15</x:f>
        <x:v>0.78</x:v>
      </x:c>
      <x:c r="H15" s="46" t="n">
        <x:f>F15*G15</x:f>
        <x:v>18953.017200000002</x:v>
      </x:c>
      <x:c r="I15" s="48" t="n">
        <x:f>'预测假设'!F15</x:f>
        <x:v>0.2</x:v>
      </x:c>
      <x:c r="J15" s="46" t="n">
        <x:f>F15*I15</x:f>
        <x:v>4859.7480000000005</x:v>
      </x:c>
      <x:c r="K15" s="48" t="n">
        <x:f>'预测假设'!G15</x:f>
        <x:v>0.38</x:v>
      </x:c>
      <x:c r="L15" s="46" t="n">
        <x:f>F15*K15</x:f>
        <x:v>9233.521200000001</x:v>
      </x:c>
      <x:c r="M15" s="46" t="n">
        <x:f>1040*(1+'预测假设'!I15)^(2028-2025)</x:f>
        <x:v>1071.51304</x:v>
      </x:c>
      <x:c r="N15" s="47" t="n">
        <x:f>F15-D15*(1+E15)</x:f>
        <x:v>0</x:v>
      </x:c>
      <x:c r="O15" s="47" t="n">
        <x:f>H15-F15*G15</x:f>
        <x:v>0</x:v>
      </x:c>
      <x:c r="P15" s="47" t="n">
        <x:f>J15-F15*I15</x:f>
        <x:v>0</x:v>
      </x:c>
      <x:c r="Q15" s="47" t="n">
        <x:f>L15-F15*K15</x:f>
        <x:v>0</x:v>
      </x:c>
    </x:row>
    <x:row r="16">
      <x:c r="A16" s="32" t="str">
        <x:v>NOW</x:v>
      </x:c>
      <x:c r="B16" s="32" t="str">
        <x:v>Bull</x:v>
      </x:c>
      <x:c r="C16" s="32" t="n">
        <x:v>2029</x:v>
      </x:c>
      <x:c r="D16" s="46" t="n">
        <x:f>F15</x:f>
        <x:v>24298.74</x:v>
      </x:c>
      <x:c r="E16" s="48" t="n">
        <x:f>'预测假设'!D16</x:f>
        <x:v>0.18</x:v>
      </x:c>
      <x:c r="F16" s="46" t="n">
        <x:f>D16*(1+E16)</x:f>
        <x:v>28672.5132</x:v>
      </x:c>
      <x:c r="G16" s="48" t="n">
        <x:f>'预测假设'!E16</x:f>
        <x:v>0.79</x:v>
      </x:c>
      <x:c r="H16" s="46" t="n">
        <x:f>F16*G16</x:f>
        <x:v>22651.285428000003</x:v>
      </x:c>
      <x:c r="I16" s="48" t="n">
        <x:f>'预测假设'!F16</x:f>
        <x:v>0.22</x:v>
      </x:c>
      <x:c r="J16" s="46" t="n">
        <x:f>F16*I16</x:f>
        <x:v>6307.952904000001</x:v>
      </x:c>
      <x:c r="K16" s="48" t="n">
        <x:f>'预测假设'!G16</x:f>
        <x:v>0.39</x:v>
      </x:c>
      <x:c r="L16" s="46" t="n">
        <x:f>F16*K16</x:f>
        <x:v>11182.280148000002</x:v>
      </x:c>
      <x:c r="M16" s="46" t="n">
        <x:f>1040*(1+'预测假设'!I16)^(2029-2025)</x:f>
        <x:v>1082.2281704</x:v>
      </x:c>
      <x:c r="N16" s="47" t="n">
        <x:f>F16-D16*(1+E16)</x:f>
        <x:v>0</x:v>
      </x:c>
      <x:c r="O16" s="47" t="n">
        <x:f>H16-F16*G16</x:f>
        <x:v>0</x:v>
      </x:c>
      <x:c r="P16" s="47" t="n">
        <x:f>J16-F16*I16</x:f>
        <x:v>0</x:v>
      </x:c>
      <x:c r="Q16" s="47" t="n">
        <x:f>L16-F16*K16</x:f>
        <x:v>0</x:v>
      </x:c>
    </x:row>
    <x:row r="17">
      <x:c r="A17" s="33" t="str">
        <x:v>GTLB</x:v>
      </x:c>
      <x:c r="B17" s="33" t="str">
        <x:v>Bear</x:v>
      </x:c>
      <x:c r="C17" s="33" t="n">
        <x:v>2027</x:v>
      </x:c>
      <x:c r="D17" s="46" t="n">
        <x:f>955.224</x:f>
        <x:v>955.224</x:v>
      </x:c>
      <x:c r="E17" s="48" t="n">
        <x:f>'预测假设'!D17</x:f>
        <x:v>0.14</x:v>
      </x:c>
      <x:c r="F17" s="46" t="n">
        <x:f>D17*(1+E17)</x:f>
        <x:v>1088.9553600000002</x:v>
      </x:c>
      <x:c r="G17" s="48" t="n">
        <x:f>'预测假设'!E17</x:f>
        <x:v>0.845</x:v>
      </x:c>
      <x:c r="H17" s="46" t="n">
        <x:f>F17*G17</x:f>
        <x:v>920.1672792</x:v>
      </x:c>
      <x:c r="I17" s="48" t="n">
        <x:f>'预测假设'!F17</x:f>
        <x:v>-0.07</x:v>
      </x:c>
      <x:c r="J17" s="46" t="n">
        <x:f>F17*I17</x:f>
        <x:v>-76.22687520000002</x:v>
      </x:c>
      <x:c r="K17" s="48" t="n">
        <x:f>'预测假设'!G17</x:f>
        <x:v>0.14</x:v>
      </x:c>
      <x:c r="L17" s="46" t="n">
        <x:f>F17*K17</x:f>
        <x:v>152.45375040000005</x:v>
      </x:c>
      <x:c r="M17" s="46" t="n">
        <x:f>169.948*(1+'预测假设'!I17)^(2027-2026)</x:f>
        <x:v>171.64748</x:v>
      </x:c>
      <x:c r="N17" s="47" t="n">
        <x:f>F17-D17*(1+E17)</x:f>
        <x:v>0</x:v>
      </x:c>
      <x:c r="O17" s="47" t="n">
        <x:f>H17-F17*G17</x:f>
        <x:v>0</x:v>
      </x:c>
      <x:c r="P17" s="47" t="n">
        <x:f>J17-F17*I17</x:f>
        <x:v>0</x:v>
      </x:c>
      <x:c r="Q17" s="47" t="n">
        <x:f>L17-F17*K17</x:f>
        <x:v>0</x:v>
      </x:c>
    </x:row>
    <x:row r="18">
      <x:c r="A18" s="32" t="str">
        <x:v>GTLB</x:v>
      </x:c>
      <x:c r="B18" s="32" t="str">
        <x:v>Bear</x:v>
      </x:c>
      <x:c r="C18" s="32" t="n">
        <x:v>2028</x:v>
      </x:c>
      <x:c r="D18" s="46" t="n">
        <x:f>F17</x:f>
        <x:v>1088.9553600000002</x:v>
      </x:c>
      <x:c r="E18" s="48" t="n">
        <x:f>'预测假设'!D18</x:f>
        <x:v>0.14</x:v>
      </x:c>
      <x:c r="F18" s="46" t="n">
        <x:f>D18*(1+E18)</x:f>
        <x:v>1241.4091104000004</x:v>
      </x:c>
      <x:c r="G18" s="48" t="n">
        <x:f>'预测假设'!E18</x:f>
        <x:v>0.84</x:v>
      </x:c>
      <x:c r="H18" s="46" t="n">
        <x:f>F18*G18</x:f>
        <x:v>1042.7836527360002</x:v>
      </x:c>
      <x:c r="I18" s="48" t="n">
        <x:f>'预测假设'!F18</x:f>
        <x:v>-0.03</x:v>
      </x:c>
      <x:c r="J18" s="46" t="n">
        <x:f>F18*I18</x:f>
        <x:v>-37.24227331200001</x:v>
      </x:c>
      <x:c r="K18" s="48" t="n">
        <x:f>'预测假设'!G18</x:f>
        <x:v>0.16</x:v>
      </x:c>
      <x:c r="L18" s="46" t="n">
        <x:f>F18*K18</x:f>
        <x:v>198.62545766400007</x:v>
      </x:c>
      <x:c r="M18" s="46" t="n">
        <x:f>169.948*(1+'预测假设'!I18)^(2028-2026)</x:f>
        <x:v>173.36395480000002</x:v>
      </x:c>
      <x:c r="N18" s="47" t="n">
        <x:f>F18-D18*(1+E18)</x:f>
        <x:v>0</x:v>
      </x:c>
      <x:c r="O18" s="47" t="n">
        <x:f>H18-F18*G18</x:f>
        <x:v>0</x:v>
      </x:c>
      <x:c r="P18" s="47" t="n">
        <x:f>J18-F18*I18</x:f>
        <x:v>0</x:v>
      </x:c>
      <x:c r="Q18" s="47" t="n">
        <x:f>L18-F18*K18</x:f>
        <x:v>0</x:v>
      </x:c>
    </x:row>
    <x:row r="19">
      <x:c r="A19" s="33" t="str">
        <x:v>GTLB</x:v>
      </x:c>
      <x:c r="B19" s="33" t="str">
        <x:v>Bear</x:v>
      </x:c>
      <x:c r="C19" s="33" t="n">
        <x:v>2029</x:v>
      </x:c>
      <x:c r="D19" s="46" t="n">
        <x:f>F18</x:f>
        <x:v>1241.4091104000004</x:v>
      </x:c>
      <x:c r="E19" s="48" t="n">
        <x:f>'预测假设'!D19</x:f>
        <x:v>0.13</x:v>
      </x:c>
      <x:c r="F19" s="46" t="n">
        <x:f>D19*(1+E19)</x:f>
        <x:v>1402.7922947520003</x:v>
      </x:c>
      <x:c r="G19" s="48" t="n">
        <x:f>'预测假设'!E19</x:f>
        <x:v>0.84</x:v>
      </x:c>
      <x:c r="H19" s="46" t="n">
        <x:f>F19*G19</x:f>
        <x:v>1178.3455275916801</x:v>
      </x:c>
      <x:c r="I19" s="48" t="n">
        <x:f>'预测假设'!F19</x:f>
        <x:v>0.02</x:v>
      </x:c>
      <x:c r="J19" s="46" t="n">
        <x:f>F19*I19</x:f>
        <x:v>28.055845895040008</x:v>
      </x:c>
      <x:c r="K19" s="48" t="n">
        <x:f>'预测假设'!G19</x:f>
        <x:v>0.18</x:v>
      </x:c>
      <x:c r="L19" s="46" t="n">
        <x:f>F19*K19</x:f>
        <x:v>252.50261305536006</x:v>
      </x:c>
      <x:c r="M19" s="46" t="n">
        <x:f>169.948*(1+'预测假设'!I19)^(2029-2026)</x:f>
        <x:v>175.09759434800003</x:v>
      </x:c>
      <x:c r="N19" s="47" t="n">
        <x:f>F19-D19*(1+E19)</x:f>
        <x:v>0</x:v>
      </x:c>
      <x:c r="O19" s="47" t="n">
        <x:f>H19-F19*G19</x:f>
        <x:v>0</x:v>
      </x:c>
      <x:c r="P19" s="47" t="n">
        <x:f>J19-F19*I19</x:f>
        <x:v>0</x:v>
      </x:c>
      <x:c r="Q19" s="47" t="n">
        <x:f>L19-F19*K19</x:f>
        <x:v>0</x:v>
      </x:c>
    </x:row>
    <x:row r="20">
      <x:c r="A20" s="32" t="str">
        <x:v>GTLB</x:v>
      </x:c>
      <x:c r="B20" s="32" t="str">
        <x:v>Base</x:v>
      </x:c>
      <x:c r="C20" s="32" t="n">
        <x:v>2027</x:v>
      </x:c>
      <x:c r="D20" s="46" t="n">
        <x:f>955.224</x:f>
        <x:v>955.224</x:v>
      </x:c>
      <x:c r="E20" s="48" t="n">
        <x:f>'预测假设'!D20</x:f>
        <x:v>0.167</x:v>
      </x:c>
      <x:c r="F20" s="46" t="n">
        <x:f>D20*(1+E20)</x:f>
        <x:v>1114.7464080000002</x:v>
      </x:c>
      <x:c r="G20" s="48" t="n">
        <x:f>'预测假设'!E20</x:f>
        <x:v>0.86</x:v>
      </x:c>
      <x:c r="H20" s="46" t="n">
        <x:f>F20*G20</x:f>
        <x:v>958.6819108800001</x:v>
      </x:c>
      <x:c r="I20" s="48" t="n">
        <x:f>'预测假设'!F20</x:f>
        <x:v>-0.02</x:v>
      </x:c>
      <x:c r="J20" s="46" t="n">
        <x:f>F20*I20</x:f>
        <x:v>-22.294928160000005</x:v>
      </x:c>
      <x:c r="K20" s="48" t="n">
        <x:f>'预测假设'!G20</x:f>
        <x:v>0.2</x:v>
      </x:c>
      <x:c r="L20" s="46" t="n">
        <x:f>F20*K20</x:f>
        <x:v>222.94928160000006</x:v>
      </x:c>
      <x:c r="M20" s="46" t="n">
        <x:f>169.948*(1+'预测假设'!I20)^(2027-2026)</x:f>
        <x:v>171.64748</x:v>
      </x:c>
      <x:c r="N20" s="47" t="n">
        <x:f>F20-D20*(1+E20)</x:f>
        <x:v>0</x:v>
      </x:c>
      <x:c r="O20" s="47" t="n">
        <x:f>H20-F20*G20</x:f>
        <x:v>0</x:v>
      </x:c>
      <x:c r="P20" s="47" t="n">
        <x:f>J20-F20*I20</x:f>
        <x:v>0</x:v>
      </x:c>
      <x:c r="Q20" s="47" t="n">
        <x:f>L20-F20*K20</x:f>
        <x:v>0</x:v>
      </x:c>
    </x:row>
    <x:row r="21">
      <x:c r="A21" s="33" t="str">
        <x:v>GTLB</x:v>
      </x:c>
      <x:c r="B21" s="33" t="str">
        <x:v>Base</x:v>
      </x:c>
      <x:c r="C21" s="33" t="n">
        <x:v>2028</x:v>
      </x:c>
      <x:c r="D21" s="46" t="n">
        <x:f>F20</x:f>
        <x:v>1114.7464080000002</x:v>
      </x:c>
      <x:c r="E21" s="48" t="n">
        <x:f>'预测假设'!D21</x:f>
        <x:v>0.21</x:v>
      </x:c>
      <x:c r="F21" s="46" t="n">
        <x:f>D21*(1+E21)</x:f>
        <x:v>1348.8431536800001</x:v>
      </x:c>
      <x:c r="G21" s="48" t="n">
        <x:f>'预测假设'!E21</x:f>
        <x:v>0.86</x:v>
      </x:c>
      <x:c r="H21" s="46" t="n">
        <x:f>F21*G21</x:f>
        <x:v>1160.0051121648</x:v>
      </x:c>
      <x:c r="I21" s="48" t="n">
        <x:f>'预测假设'!F21</x:f>
        <x:v>0.05</x:v>
      </x:c>
      <x:c r="J21" s="46" t="n">
        <x:f>F21*I21</x:f>
        <x:v>67.44215768400001</x:v>
      </x:c>
      <x:c r="K21" s="48" t="n">
        <x:f>'预测假设'!G21</x:f>
        <x:v>0.22</x:v>
      </x:c>
      <x:c r="L21" s="46" t="n">
        <x:f>F21*K21</x:f>
        <x:v>296.7454938096</x:v>
      </x:c>
      <x:c r="M21" s="46" t="n">
        <x:f>169.948*(1+'预测假设'!I21)^(2028-2026)</x:f>
        <x:v>173.36395480000002</x:v>
      </x:c>
      <x:c r="N21" s="47" t="n">
        <x:f>F21-D21*(1+E21)</x:f>
        <x:v>0</x:v>
      </x:c>
      <x:c r="O21" s="47" t="n">
        <x:f>H21-F21*G21</x:f>
        <x:v>0</x:v>
      </x:c>
      <x:c r="P21" s="47" t="n">
        <x:f>J21-F21*I21</x:f>
        <x:v>0</x:v>
      </x:c>
      <x:c r="Q21" s="47" t="n">
        <x:f>L21-F21*K21</x:f>
        <x:v>0</x:v>
      </x:c>
    </x:row>
    <x:row r="22">
      <x:c r="A22" s="32" t="str">
        <x:v>GTLB</x:v>
      </x:c>
      <x:c r="B22" s="32" t="str">
        <x:v>Base</x:v>
      </x:c>
      <x:c r="C22" s="32" t="n">
        <x:v>2029</x:v>
      </x:c>
      <x:c r="D22" s="46" t="n">
        <x:f>F21</x:f>
        <x:v>1348.8431536800001</x:v>
      </x:c>
      <x:c r="E22" s="48" t="n">
        <x:f>'预测假设'!D22</x:f>
        <x:v>0.185</x:v>
      </x:c>
      <x:c r="F22" s="46" t="n">
        <x:f>D22*(1+E22)</x:f>
        <x:v>1598.3791371108002</x:v>
      </x:c>
      <x:c r="G22" s="48" t="n">
        <x:f>'预测假设'!E22</x:f>
        <x:v>0.865</x:v>
      </x:c>
      <x:c r="H22" s="46" t="n">
        <x:f>F22*G22</x:f>
        <x:v>1382.5979536008422</x:v>
      </x:c>
      <x:c r="I22" s="48" t="n">
        <x:f>'预测假设'!F22</x:f>
        <x:v>0.1</x:v>
      </x:c>
      <x:c r="J22" s="46" t="n">
        <x:f>F22*I22</x:f>
        <x:v>159.83791371108003</x:v>
      </x:c>
      <x:c r="K22" s="48" t="n">
        <x:f>'预测假设'!G22</x:f>
        <x:v>0.24</x:v>
      </x:c>
      <x:c r="L22" s="46" t="n">
        <x:f>F22*K22</x:f>
        <x:v>383.61099290659206</x:v>
      </x:c>
      <x:c r="M22" s="46" t="n">
        <x:f>169.948*(1+'预测假设'!I22)^(2029-2026)</x:f>
        <x:v>175.09759434800003</x:v>
      </x:c>
      <x:c r="N22" s="47" t="n">
        <x:f>F22-D22*(1+E22)</x:f>
        <x:v>0</x:v>
      </x:c>
      <x:c r="O22" s="47" t="n">
        <x:f>H22-F22*G22</x:f>
        <x:v>0</x:v>
      </x:c>
      <x:c r="P22" s="47" t="n">
        <x:f>J22-F22*I22</x:f>
        <x:v>0</x:v>
      </x:c>
      <x:c r="Q22" s="47" t="n">
        <x:f>L22-F22*K22</x:f>
        <x:v>0</x:v>
      </x:c>
    </x:row>
    <x:row r="23">
      <x:c r="A23" s="33" t="str">
        <x:v>GTLB</x:v>
      </x:c>
      <x:c r="B23" s="33" t="str">
        <x:v>Bull</x:v>
      </x:c>
      <x:c r="C23" s="33" t="n">
        <x:v>2027</x:v>
      </x:c>
      <x:c r="D23" s="46" t="n">
        <x:f>955.224</x:f>
        <x:v>955.224</x:v>
      </x:c>
      <x:c r="E23" s="48" t="n">
        <x:f>'预测假设'!D23</x:f>
        <x:v>0.19</x:v>
      </x:c>
      <x:c r="F23" s="46" t="n">
        <x:f>D23*(1+E23)</x:f>
        <x:v>1136.71656</x:v>
      </x:c>
      <x:c r="G23" s="48" t="n">
        <x:f>'预测假设'!E23</x:f>
        <x:v>0.87</x:v>
      </x:c>
      <x:c r="H23" s="46" t="n">
        <x:f>F23*G23</x:f>
        <x:v>988.9434072</x:v>
      </x:c>
      <x:c r="I23" s="48" t="n">
        <x:f>'预测假设'!F23</x:f>
        <x:v>0.02</x:v>
      </x:c>
      <x:c r="J23" s="46" t="n">
        <x:f>F23*I23</x:f>
        <x:v>22.734331200000003</x:v>
      </x:c>
      <x:c r="K23" s="48" t="n">
        <x:f>'预测假设'!G23</x:f>
        <x:v>0.24</x:v>
      </x:c>
      <x:c r="L23" s="46" t="n">
        <x:f>F23*K23</x:f>
        <x:v>272.8119744</x:v>
      </x:c>
      <x:c r="M23" s="46" t="n">
        <x:f>169.948*(1+'预测假设'!I23)^(2027-2026)</x:f>
        <x:v>171.64748</x:v>
      </x:c>
      <x:c r="N23" s="47" t="n">
        <x:f>F23-D23*(1+E23)</x:f>
        <x:v>0</x:v>
      </x:c>
      <x:c r="O23" s="47" t="n">
        <x:f>H23-F23*G23</x:f>
        <x:v>0</x:v>
      </x:c>
      <x:c r="P23" s="47" t="n">
        <x:f>J23-F23*I23</x:f>
        <x:v>0</x:v>
      </x:c>
      <x:c r="Q23" s="47" t="n">
        <x:f>L23-F23*K23</x:f>
        <x:v>0</x:v>
      </x:c>
    </x:row>
    <x:row r="24">
      <x:c r="A24" s="32" t="str">
        <x:v>GTLB</x:v>
      </x:c>
      <x:c r="B24" s="32" t="str">
        <x:v>Bull</x:v>
      </x:c>
      <x:c r="C24" s="32" t="n">
        <x:v>2028</x:v>
      </x:c>
      <x:c r="D24" s="46" t="n">
        <x:f>F23</x:f>
        <x:v>1136.71656</x:v>
      </x:c>
      <x:c r="E24" s="48" t="n">
        <x:f>'预测假设'!D24</x:f>
        <x:v>0.25</x:v>
      </x:c>
      <x:c r="F24" s="46" t="n">
        <x:f>D24*(1+E24)</x:f>
        <x:v>1420.8957</x:v>
      </x:c>
      <x:c r="G24" s="48" t="n">
        <x:f>'预测假设'!E24</x:f>
        <x:v>0.88</x:v>
      </x:c>
      <x:c r="H24" s="46" t="n">
        <x:f>F24*G24</x:f>
        <x:v>1250.388216</x:v>
      </x:c>
      <x:c r="I24" s="48" t="n">
        <x:f>'预测假设'!F24</x:f>
        <x:v>0.1</x:v>
      </x:c>
      <x:c r="J24" s="46" t="n">
        <x:f>F24*I24</x:f>
        <x:v>142.08957</x:v>
      </x:c>
      <x:c r="K24" s="48" t="n">
        <x:f>'预测假设'!G24</x:f>
        <x:v>0.27</x:v>
      </x:c>
      <x:c r="L24" s="46" t="n">
        <x:f>F24*K24</x:f>
        <x:v>383.64183900000006</x:v>
      </x:c>
      <x:c r="M24" s="46" t="n">
        <x:f>169.948*(1+'预测假设'!I24)^(2028-2026)</x:f>
        <x:v>173.36395480000002</x:v>
      </x:c>
      <x:c r="N24" s="47" t="n">
        <x:f>F24-D24*(1+E24)</x:f>
        <x:v>0</x:v>
      </x:c>
      <x:c r="O24" s="47" t="n">
        <x:f>H24-F24*G24</x:f>
        <x:v>0</x:v>
      </x:c>
      <x:c r="P24" s="47" t="n">
        <x:f>J24-F24*I24</x:f>
        <x:v>0</x:v>
      </x:c>
      <x:c r="Q24" s="47" t="n">
        <x:f>L24-F24*K24</x:f>
        <x:v>0</x:v>
      </x:c>
    </x:row>
    <x:row r="25">
      <x:c r="A25" s="33" t="str">
        <x:v>GTLB</x:v>
      </x:c>
      <x:c r="B25" s="33" t="str">
        <x:v>Bull</x:v>
      </x:c>
      <x:c r="C25" s="33" t="n">
        <x:v>2029</x:v>
      </x:c>
      <x:c r="D25" s="46" t="n">
        <x:f>F24</x:f>
        <x:v>1420.8957</x:v>
      </x:c>
      <x:c r="E25" s="48" t="n">
        <x:f>'预测假设'!D25</x:f>
        <x:v>0.25</x:v>
      </x:c>
      <x:c r="F25" s="46" t="n">
        <x:f>D25*(1+E25)</x:f>
        <x:v>1776.119625</x:v>
      </x:c>
      <x:c r="G25" s="48" t="n">
        <x:f>'预测假设'!E25</x:f>
        <x:v>0.89</x:v>
      </x:c>
      <x:c r="H25" s="46" t="n">
        <x:f>F25*G25</x:f>
        <x:v>1580.7464662500001</x:v>
      </x:c>
      <x:c r="I25" s="48" t="n">
        <x:f>'预测假设'!F25</x:f>
        <x:v>0.16</x:v>
      </x:c>
      <x:c r="J25" s="46" t="n">
        <x:f>F25*I25</x:f>
        <x:v>284.17914</x:v>
      </x:c>
      <x:c r="K25" s="48" t="n">
        <x:f>'预测假设'!G25</x:f>
        <x:v>0.3</x:v>
      </x:c>
      <x:c r="L25" s="46" t="n">
        <x:f>F25*K25</x:f>
        <x:v>532.8358875</x:v>
      </x:c>
      <x:c r="M25" s="46" t="n">
        <x:f>169.948*(1+'预测假设'!I25)^(2029-2026)</x:f>
        <x:v>175.09759434800003</x:v>
      </x:c>
      <x:c r="N25" s="47" t="n">
        <x:f>F25-D25*(1+E25)</x:f>
        <x:v>0</x:v>
      </x:c>
      <x:c r="O25" s="47" t="n">
        <x:f>H25-F25*G25</x:f>
        <x:v>0</x:v>
      </x:c>
      <x:c r="P25" s="47" t="n">
        <x:f>J25-F25*I25</x:f>
        <x:v>0</x:v>
      </x:c>
      <x:c r="Q25" s="47" t="n">
        <x:f>L25-F25*K25</x:f>
        <x:v>0</x:v>
      </x:c>
    </x:row>
    <x:row r="26">
      <x:c r="A26" s="32" t="str">
        <x:v>PATH</x:v>
      </x:c>
      <x:c r="B26" s="32" t="str">
        <x:v>Bear</x:v>
      </x:c>
      <x:c r="C26" s="32" t="n">
        <x:v>2027</x:v>
      </x:c>
      <x:c r="D26" s="46" t="n">
        <x:f>1610.572</x:f>
        <x:v>1610.572</x:v>
      </x:c>
      <x:c r="E26" s="48" t="n">
        <x:f>'预测假设'!D26</x:f>
        <x:v>0.08</x:v>
      </x:c>
      <x:c r="F26" s="46" t="n">
        <x:f>D26*(1+E26)</x:f>
        <x:v>1739.41776</x:v>
      </x:c>
      <x:c r="G26" s="48" t="n">
        <x:f>'预测假设'!E26</x:f>
        <x:v>0.8</x:v>
      </x:c>
      <x:c r="H26" s="46" t="n">
        <x:f>F26*G26</x:f>
        <x:v>1391.534208</x:v>
      </x:c>
      <x:c r="I26" s="48" t="n">
        <x:f>'预测假设'!F26</x:f>
        <x:v>0</x:v>
      </x:c>
      <x:c r="J26" s="46" t="n">
        <x:f>F26*I26</x:f>
        <x:v>0</x:v>
      </x:c>
      <x:c r="K26" s="48" t="n">
        <x:f>'预测假设'!G26</x:f>
        <x:v>0.15</x:v>
      </x:c>
      <x:c r="L26" s="46" t="n">
        <x:f>F26*K26</x:f>
        <x:v>260.912664</x:v>
      </x:c>
      <x:c r="M26" s="46" t="n">
        <x:f>527.818*(1+'预测假设'!I26)^(2027-2026)</x:f>
        <x:v>522.53982</x:v>
      </x:c>
      <x:c r="N26" s="47" t="n">
        <x:f>F26-D26*(1+E26)</x:f>
        <x:v>0</x:v>
      </x:c>
      <x:c r="O26" s="47" t="n">
        <x:f>H26-F26*G26</x:f>
        <x:v>0</x:v>
      </x:c>
      <x:c r="P26" s="47" t="n">
        <x:f>J26-F26*I26</x:f>
        <x:v>0</x:v>
      </x:c>
      <x:c r="Q26" s="47" t="n">
        <x:f>L26-F26*K26</x:f>
        <x:v>0</x:v>
      </x:c>
    </x:row>
    <x:row r="27">
      <x:c r="A27" s="33" t="str">
        <x:v>PATH</x:v>
      </x:c>
      <x:c r="B27" s="33" t="str">
        <x:v>Bear</x:v>
      </x:c>
      <x:c r="C27" s="33" t="n">
        <x:v>2028</x:v>
      </x:c>
      <x:c r="D27" s="46" t="n">
        <x:f>F26</x:f>
        <x:v>1739.41776</x:v>
      </x:c>
      <x:c r="E27" s="48" t="n">
        <x:f>'预测假设'!D27</x:f>
        <x:v>0.05</x:v>
      </x:c>
      <x:c r="F27" s="46" t="n">
        <x:f>D27*(1+E27)</x:f>
        <x:v>1826.388648</x:v>
      </x:c>
      <x:c r="G27" s="48" t="n">
        <x:f>'预测假设'!E27</x:f>
        <x:v>0.795</x:v>
      </x:c>
      <x:c r="H27" s="46" t="n">
        <x:f>F27*G27</x:f>
        <x:v>1451.9789751600001</x:v>
      </x:c>
      <x:c r="I27" s="48" t="n">
        <x:f>'预测假设'!F27</x:f>
        <x:v>-0.02</x:v>
      </x:c>
      <x:c r="J27" s="46" t="n">
        <x:f>F27*I27</x:f>
        <x:v>-36.52777296</x:v>
      </x:c>
      <x:c r="K27" s="48" t="n">
        <x:f>'预测假设'!G27</x:f>
        <x:v>0.14</x:v>
      </x:c>
      <x:c r="L27" s="46" t="n">
        <x:f>F27*K27</x:f>
        <x:v>255.69441072000004</x:v>
      </x:c>
      <x:c r="M27" s="46" t="n">
        <x:f>527.818*(1+'预测假设'!I27)^(2028-2026)</x:f>
        <x:v>517.3144218</x:v>
      </x:c>
      <x:c r="N27" s="47" t="n">
        <x:f>F27-D27*(1+E27)</x:f>
        <x:v>0</x:v>
      </x:c>
      <x:c r="O27" s="47" t="n">
        <x:f>H27-F27*G27</x:f>
        <x:v>0</x:v>
      </x:c>
      <x:c r="P27" s="47" t="n">
        <x:f>J27-F27*I27</x:f>
        <x:v>0</x:v>
      </x:c>
      <x:c r="Q27" s="47" t="n">
        <x:f>L27-F27*K27</x:f>
        <x:v>0</x:v>
      </x:c>
    </x:row>
    <x:row r="28">
      <x:c r="A28" s="32" t="str">
        <x:v>PATH</x:v>
      </x:c>
      <x:c r="B28" s="32" t="str">
        <x:v>Bear</x:v>
      </x:c>
      <x:c r="C28" s="32" t="n">
        <x:v>2029</x:v>
      </x:c>
      <x:c r="D28" s="46" t="n">
        <x:f>F27</x:f>
        <x:v>1826.388648</x:v>
      </x:c>
      <x:c r="E28" s="48" t="n">
        <x:f>'预测假设'!D28</x:f>
        <x:v>0.04</x:v>
      </x:c>
      <x:c r="F28" s="46" t="n">
        <x:f>D28*(1+E28)</x:f>
        <x:v>1899.44419392</x:v>
      </x:c>
      <x:c r="G28" s="48" t="n">
        <x:f>'预测假设'!E28</x:f>
        <x:v>0.79</x:v>
      </x:c>
      <x:c r="H28" s="46" t="n">
        <x:f>F28*G28</x:f>
        <x:v>1500.5609131968001</x:v>
      </x:c>
      <x:c r="I28" s="48" t="n">
        <x:f>'预测假设'!F28</x:f>
        <x:v>-0.03</x:v>
      </x:c>
      <x:c r="J28" s="46" t="n">
        <x:f>F28*I28</x:f>
        <x:v>-56.9833258176</x:v>
      </x:c>
      <x:c r="K28" s="48" t="n">
        <x:f>'预测假设'!G28</x:f>
        <x:v>0.13</x:v>
      </x:c>
      <x:c r="L28" s="46" t="n">
        <x:f>F28*K28</x:f>
        <x:v>246.92774520960003</x:v>
      </x:c>
      <x:c r="M28" s="46" t="n">
        <x:f>527.818*(1+'预测假设'!I28)^(2029-2026)</x:f>
        <x:v>512.141277582</x:v>
      </x:c>
      <x:c r="N28" s="47" t="n">
        <x:f>F28-D28*(1+E28)</x:f>
        <x:v>0</x:v>
      </x:c>
      <x:c r="O28" s="47" t="n">
        <x:f>H28-F28*G28</x:f>
        <x:v>0</x:v>
      </x:c>
      <x:c r="P28" s="47" t="n">
        <x:f>J28-F28*I28</x:f>
        <x:v>0</x:v>
      </x:c>
      <x:c r="Q28" s="47" t="n">
        <x:f>L28-F28*K28</x:f>
        <x:v>0</x:v>
      </x:c>
    </x:row>
    <x:row r="29">
      <x:c r="A29" s="33" t="str">
        <x:v>PATH</x:v>
      </x:c>
      <x:c r="B29" s="33" t="str">
        <x:v>Base</x:v>
      </x:c>
      <x:c r="C29" s="33" t="n">
        <x:v>2027</x:v>
      </x:c>
      <x:c r="D29" s="46" t="n">
        <x:f>1610.572</x:f>
        <x:v>1610.572</x:v>
      </x:c>
      <x:c r="E29" s="48" t="n">
        <x:f>'预测假设'!D29</x:f>
        <x:v>0.104</x:v>
      </x:c>
      <x:c r="F29" s="46" t="n">
        <x:f>D29*(1+E29)</x:f>
        <x:v>1778.071488</x:v>
      </x:c>
      <x:c r="G29" s="48" t="n">
        <x:f>'预测假设'!E29</x:f>
        <x:v>0.83</x:v>
      </x:c>
      <x:c r="H29" s="46" t="n">
        <x:f>F29*G29</x:f>
        <x:v>1475.79933504</x:v>
      </x:c>
      <x:c r="I29" s="48" t="n">
        <x:f>'预测假设'!F29</x:f>
        <x:v>0.06</x:v>
      </x:c>
      <x:c r="J29" s="46" t="n">
        <x:f>F29*I29</x:f>
        <x:v>106.68428928</x:v>
      </x:c>
      <x:c r="K29" s="48" t="n">
        <x:f>'预测假设'!G29</x:f>
        <x:v>0.22</x:v>
      </x:c>
      <x:c r="L29" s="46" t="n">
        <x:f>F29*K29</x:f>
        <x:v>391.17572736</x:v>
      </x:c>
      <x:c r="M29" s="46" t="n">
        <x:f>527.818*(1+'预测假设'!I29)^(2027-2026)</x:f>
        <x:v>522.53982</x:v>
      </x:c>
      <x:c r="N29" s="47" t="n">
        <x:f>F29-D29*(1+E29)</x:f>
        <x:v>0</x:v>
      </x:c>
      <x:c r="O29" s="47" t="n">
        <x:f>H29-F29*G29</x:f>
        <x:v>0</x:v>
      </x:c>
      <x:c r="P29" s="47" t="n">
        <x:f>J29-F29*I29</x:f>
        <x:v>0</x:v>
      </x:c>
      <x:c r="Q29" s="47" t="n">
        <x:f>L29-F29*K29</x:f>
        <x:v>0</x:v>
      </x:c>
    </x:row>
    <x:row r="30">
      <x:c r="A30" s="32" t="str">
        <x:v>PATH</x:v>
      </x:c>
      <x:c r="B30" s="32" t="str">
        <x:v>Base</x:v>
      </x:c>
      <x:c r="C30" s="32" t="n">
        <x:v>2028</x:v>
      </x:c>
      <x:c r="D30" s="46" t="n">
        <x:f>F29</x:f>
        <x:v>1778.071488</x:v>
      </x:c>
      <x:c r="E30" s="48" t="n">
        <x:f>'预测假设'!D30</x:f>
        <x:v>0.1</x:v>
      </x:c>
      <x:c r="F30" s="46" t="n">
        <x:f>D30*(1+E30)</x:f>
        <x:v>1955.8786368</x:v>
      </x:c>
      <x:c r="G30" s="48" t="n">
        <x:f>'预测假设'!E30</x:f>
        <x:v>0.83</x:v>
      </x:c>
      <x:c r="H30" s="46" t="n">
        <x:f>F30*G30</x:f>
        <x:v>1623.379268544</x:v>
      </x:c>
      <x:c r="I30" s="48" t="n">
        <x:f>'预测假设'!F30</x:f>
        <x:v>0.09</x:v>
      </x:c>
      <x:c r="J30" s="46" t="n">
        <x:f>F30*I30</x:f>
        <x:v>176.029077312</x:v>
      </x:c>
      <x:c r="K30" s="48" t="n">
        <x:f>'预测假设'!G30</x:f>
        <x:v>0.23</x:v>
      </x:c>
      <x:c r="L30" s="46" t="n">
        <x:f>F30*K30</x:f>
        <x:v>449.852086464</x:v>
      </x:c>
      <x:c r="M30" s="46" t="n">
        <x:f>527.818*(1+'预测假设'!I30)^(2028-2026)</x:f>
        <x:v>517.3144218</x:v>
      </x:c>
      <x:c r="N30" s="47" t="n">
        <x:f>F30-D30*(1+E30)</x:f>
        <x:v>0</x:v>
      </x:c>
      <x:c r="O30" s="47" t="n">
        <x:f>H30-F30*G30</x:f>
        <x:v>0</x:v>
      </x:c>
      <x:c r="P30" s="47" t="n">
        <x:f>J30-F30*I30</x:f>
        <x:v>0</x:v>
      </x:c>
      <x:c r="Q30" s="47" t="n">
        <x:f>L30-F30*K30</x:f>
        <x:v>0</x:v>
      </x:c>
    </x:row>
    <x:row r="31">
      <x:c r="A31" s="33" t="str">
        <x:v>PATH</x:v>
      </x:c>
      <x:c r="B31" s="33" t="str">
        <x:v>Base</x:v>
      </x:c>
      <x:c r="C31" s="33" t="n">
        <x:v>2029</x:v>
      </x:c>
      <x:c r="D31" s="46" t="n">
        <x:f>F30</x:f>
        <x:v>1955.8786368</x:v>
      </x:c>
      <x:c r="E31" s="48" t="n">
        <x:f>'预测假设'!D31</x:f>
        <x:v>0.09</x:v>
      </x:c>
      <x:c r="F31" s="46" t="n">
        <x:f>D31*(1+E31)</x:f>
        <x:v>2131.907714112</x:v>
      </x:c>
      <x:c r="G31" s="48" t="n">
        <x:f>'预测假设'!E31</x:f>
        <x:v>0.83</x:v>
      </x:c>
      <x:c r="H31" s="46" t="n">
        <x:f>F31*G31</x:f>
        <x:v>1769.48340271296</x:v>
      </x:c>
      <x:c r="I31" s="48" t="n">
        <x:f>'预测假设'!F31</x:f>
        <x:v>0.12</x:v>
      </x:c>
      <x:c r="J31" s="46" t="n">
        <x:f>F31*I31</x:f>
        <x:v>255.82892569344</x:v>
      </x:c>
      <x:c r="K31" s="48" t="n">
        <x:f>'预测假设'!G31</x:f>
        <x:v>0.24</x:v>
      </x:c>
      <x:c r="L31" s="46" t="n">
        <x:f>F31*K31</x:f>
        <x:v>511.65785138688</x:v>
      </x:c>
      <x:c r="M31" s="46" t="n">
        <x:f>527.818*(1+'预测假设'!I31)^(2029-2026)</x:f>
        <x:v>512.141277582</x:v>
      </x:c>
      <x:c r="N31" s="47" t="n">
        <x:f>F31-D31*(1+E31)</x:f>
        <x:v>0</x:v>
      </x:c>
      <x:c r="O31" s="47" t="n">
        <x:f>H31-F31*G31</x:f>
        <x:v>0</x:v>
      </x:c>
      <x:c r="P31" s="47" t="n">
        <x:f>J31-F31*I31</x:f>
        <x:v>0</x:v>
      </x:c>
      <x:c r="Q31" s="47" t="n">
        <x:f>L31-F31*K31</x:f>
        <x:v>0</x:v>
      </x:c>
    </x:row>
    <x:row r="32">
      <x:c r="A32" s="32" t="str">
        <x:v>PATH</x:v>
      </x:c>
      <x:c r="B32" s="32" t="str">
        <x:v>Bull</x:v>
      </x:c>
      <x:c r="C32" s="32" t="n">
        <x:v>2027</x:v>
      </x:c>
      <x:c r="D32" s="46" t="n">
        <x:f>1610.572</x:f>
        <x:v>1610.572</x:v>
      </x:c>
      <x:c r="E32" s="48" t="n">
        <x:f>'预测假设'!D32</x:f>
        <x:v>0.13</x:v>
      </x:c>
      <x:c r="F32" s="46" t="n">
        <x:f>D32*(1+E32)</x:f>
        <x:v>1819.9463599999997</x:v>
      </x:c>
      <x:c r="G32" s="48" t="n">
        <x:f>'预测假设'!E32</x:f>
        <x:v>0.84</x:v>
      </x:c>
      <x:c r="H32" s="46" t="n">
        <x:f>F32*G32</x:f>
        <x:v>1528.7549423999997</x:v>
      </x:c>
      <x:c r="I32" s="48" t="n">
        <x:f>'预测假设'!F32</x:f>
        <x:v>0.09</x:v>
      </x:c>
      <x:c r="J32" s="46" t="n">
        <x:f>F32*I32</x:f>
        <x:v>163.79517239999996</x:v>
      </x:c>
      <x:c r="K32" s="48" t="n">
        <x:f>'预测假设'!G32</x:f>
        <x:v>0.25</x:v>
      </x:c>
      <x:c r="L32" s="46" t="n">
        <x:f>F32*K32</x:f>
        <x:v>454.9865899999999</x:v>
      </x:c>
      <x:c r="M32" s="46" t="n">
        <x:f>527.818*(1+'预测假设'!I32)^(2027-2026)</x:f>
        <x:v>522.53982</x:v>
      </x:c>
      <x:c r="N32" s="47" t="n">
        <x:f>F32-D32*(1+E32)</x:f>
        <x:v>0</x:v>
      </x:c>
      <x:c r="O32" s="47" t="n">
        <x:f>H32-F32*G32</x:f>
        <x:v>0</x:v>
      </x:c>
      <x:c r="P32" s="47" t="n">
        <x:f>J32-F32*I32</x:f>
        <x:v>0</x:v>
      </x:c>
      <x:c r="Q32" s="47" t="n">
        <x:f>L32-F32*K32</x:f>
        <x:v>0</x:v>
      </x:c>
    </x:row>
    <x:row r="33">
      <x:c r="A33" s="33" t="str">
        <x:v>PATH</x:v>
      </x:c>
      <x:c r="B33" s="33" t="str">
        <x:v>Bull</x:v>
      </x:c>
      <x:c r="C33" s="33" t="n">
        <x:v>2028</x:v>
      </x:c>
      <x:c r="D33" s="46" t="n">
        <x:f>F32</x:f>
        <x:v>1819.9463599999997</x:v>
      </x:c>
      <x:c r="E33" s="48" t="n">
        <x:f>'预测假设'!D33</x:f>
        <x:v>0.18</x:v>
      </x:c>
      <x:c r="F33" s="46" t="n">
        <x:f>D33*(1+E33)</x:f>
        <x:v>2147.5367047999994</x:v>
      </x:c>
      <x:c r="G33" s="48" t="n">
        <x:f>'预测假设'!E33</x:f>
        <x:v>0.85</x:v>
      </x:c>
      <x:c r="H33" s="46" t="n">
        <x:f>F33*G33</x:f>
        <x:v>1825.4061990799994</x:v>
      </x:c>
      <x:c r="I33" s="48" t="n">
        <x:f>'预测假设'!F33</x:f>
        <x:v>0.14</x:v>
      </x:c>
      <x:c r="J33" s="46" t="n">
        <x:f>F33*I33</x:f>
        <x:v>300.65513867199996</x:v>
      </x:c>
      <x:c r="K33" s="48" t="n">
        <x:f>'预测假设'!G33</x:f>
        <x:v>0.28</x:v>
      </x:c>
      <x:c r="L33" s="46" t="n">
        <x:f>F33*K33</x:f>
        <x:v>601.3102773439999</x:v>
      </x:c>
      <x:c r="M33" s="46" t="n">
        <x:f>527.818*(1+'预测假设'!I33)^(2028-2026)</x:f>
        <x:v>517.3144218</x:v>
      </x:c>
      <x:c r="N33" s="47" t="n">
        <x:f>F33-D33*(1+E33)</x:f>
        <x:v>0</x:v>
      </x:c>
      <x:c r="O33" s="47" t="n">
        <x:f>H33-F33*G33</x:f>
        <x:v>0</x:v>
      </x:c>
      <x:c r="P33" s="47" t="n">
        <x:f>J33-F33*I33</x:f>
        <x:v>0</x:v>
      </x:c>
      <x:c r="Q33" s="47" t="n">
        <x:f>L33-F33*K33</x:f>
        <x:v>0</x:v>
      </x:c>
    </x:row>
    <x:row r="34">
      <x:c r="A34" s="32" t="str">
        <x:v>PATH</x:v>
      </x:c>
      <x:c r="B34" s="32" t="str">
        <x:v>Bull</x:v>
      </x:c>
      <x:c r="C34" s="32" t="n">
        <x:v>2029</x:v>
      </x:c>
      <x:c r="D34" s="46" t="n">
        <x:f>F33</x:f>
        <x:v>2147.5367047999994</x:v>
      </x:c>
      <x:c r="E34" s="48" t="n">
        <x:f>'预测假设'!D34</x:f>
        <x:v>0.16</x:v>
      </x:c>
      <x:c r="F34" s="46" t="n">
        <x:f>D34*(1+E34)</x:f>
        <x:v>2491.142577567999</x:v>
      </x:c>
      <x:c r="G34" s="48" t="n">
        <x:f>'预测假设'!E34</x:f>
        <x:v>0.86</x:v>
      </x:c>
      <x:c r="H34" s="46" t="n">
        <x:f>F34*G34</x:f>
        <x:v>2142.382616708479</x:v>
      </x:c>
      <x:c r="I34" s="48" t="n">
        <x:f>'预测假设'!F34</x:f>
        <x:v>0.18</x:v>
      </x:c>
      <x:c r="J34" s="46" t="n">
        <x:f>F34*I34</x:f>
        <x:v>448.4056639622398</x:v>
      </x:c>
      <x:c r="K34" s="48" t="n">
        <x:f>'预测假设'!G34</x:f>
        <x:v>0.3</x:v>
      </x:c>
      <x:c r="L34" s="46" t="n">
        <x:f>F34*K34</x:f>
        <x:v>747.3427732703997</x:v>
      </x:c>
      <x:c r="M34" s="46" t="n">
        <x:f>527.818*(1+'预测假设'!I34)^(2029-2026)</x:f>
        <x:v>512.141277582</x:v>
      </x:c>
      <x:c r="N34" s="47" t="n">
        <x:f>F34-D34*(1+E34)</x:f>
        <x:v>0</x:v>
      </x:c>
      <x:c r="O34" s="47" t="n">
        <x:f>H34-F34*G34</x:f>
        <x:v>0</x:v>
      </x:c>
      <x:c r="P34" s="47" t="n">
        <x:f>J34-F34*I34</x:f>
        <x:v>0</x:v>
      </x:c>
      <x:c r="Q34" s="47" t="n">
        <x:f>L34-F34*K34</x:f>
        <x:v>0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21" t="str">
        <x:v>模型检查与口径</x:v>
      </x:c>
      <x:c r="B1" s="21"/>
      <x:c r="C1" s="21"/>
      <x:c r="D1" s="21"/>
      <x:c r="E1" s="21"/>
      <x:c r="F1" s="21"/>
      <x:c r="G1" s="21"/>
      <x:c r="H1" s="21"/>
    </x:row>
    <x:row r="2" ht="24" customHeight="1">
      <x:c r="A2" s="24" t="str">
        <x:v>桥接应为零；预测均为作者情景，不是公司指引。</x:v>
      </x:c>
      <x:c r="B2" s="24"/>
      <x:c r="C2" s="24"/>
      <x:c r="D2" s="24"/>
      <x:c r="E2" s="24"/>
      <x:c r="F2" s="24"/>
      <x:c r="G2" s="24"/>
      <x:c r="H2" s="24"/>
    </x:row>
    <x:row r="4">
      <x:c r="A4" s="11" t="str">
        <x:v>检查项</x:v>
      </x:c>
      <x:c r="B4" s="11" t="str">
        <x:v>结果</x:v>
      </x:c>
    </x:row>
    <x:row r="5">
      <x:c r="A5" t="str">
        <x:v>预测行数</x:v>
      </x:c>
      <x:c r="B5" s="49" t="n">
        <x:f>COUNTA('预测'!A5:A34)</x:f>
        <x:v>30</x:v>
      </x:c>
    </x:row>
    <x:row r="6">
      <x:c r="A6" t="str">
        <x:v>收入桥最大偏差</x:v>
      </x:c>
      <x:c r="B6" s="50" t="n">
        <x:f>MAX(MAX('预测'!N5:N34),-MIN('预测'!N5:N34))</x:f>
        <x:v>0</x:v>
      </x:c>
    </x:row>
    <x:row r="7">
      <x:c r="A7" t="str">
        <x:v>毛利桥最大偏差</x:v>
      </x:c>
      <x:c r="B7" s="50" t="n">
        <x:f>MAX(MAX('预测'!O5:O34),-MIN('预测'!O5:O34))</x:f>
        <x:v>0</x:v>
      </x:c>
    </x:row>
    <x:row r="8">
      <x:c r="A8" t="str">
        <x:v>营业利润桥最大偏差</x:v>
      </x:c>
      <x:c r="B8" s="50" t="n">
        <x:f>MAX(MAX('预测'!P5:P34),-MIN('预测'!P5:P34))</x:f>
        <x:v>0</x:v>
      </x:c>
    </x:row>
    <x:row r="9">
      <x:c r="A9" t="str">
        <x:v>FCF桥最大偏差</x:v>
      </x:c>
      <x:c r="B9" s="50" t="n">
        <x:f>MAX(MAX('预测'!Q5:Q34),-MIN('预测'!Q5:Q34))</x:f>
        <x:v>0</x:v>
      </x:c>
    </x:row>
    <x:row r="10">
      <x:c r="A10" t="str">
        <x:v>方法</x:v>
      </x:c>
      <x:c r="B10" s="19" t="str">
        <x:v>Target-year EV/Revenue; equity value = EV + net cash; target price = equity value / diluted shares.</x:v>
      </x:c>
    </x:row>
  </x:sheetData>
  <x:mergeCells>
    <x:mergeCell ref="A1:H1"/>
    <x:mergeCell ref="A2:H2"/>
  </x:mergeCells>
  <x:pageMargins left="0.7" right="0.7" top="0.75" bottom="0.75" header="0.3" footer="0.3"/>
</x:worksheet>
</file>